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aiki\Documents\Poli\Otimiza\P3\"/>
    </mc:Choice>
  </mc:AlternateContent>
  <xr:revisionPtr revIDLastSave="0" documentId="13_ncr:1_{5CE491EE-868E-40FE-8F43-11079B3A4A60}" xr6:coauthVersionLast="47" xr6:coauthVersionMax="47" xr10:uidLastSave="{00000000-0000-0000-0000-000000000000}"/>
  <bookViews>
    <workbookView xWindow="-120" yWindow="-120" windowWidth="20730" windowHeight="11760" firstSheet="1" activeTab="1" xr2:uid="{88FEBB7A-5332-4188-9843-F5939E14045F}"/>
  </bookViews>
  <sheets>
    <sheet name="Padrão-&gt;Canônica" sheetId="10" r:id="rId1"/>
    <sheet name="Primeira Fase (Duas Fases)" sheetId="9" r:id="rId2"/>
    <sheet name="Forçador de Gauss Jordan" sheetId="11" r:id="rId3"/>
    <sheet name="Simplex" sheetId="7" r:id="rId4"/>
    <sheet name="DualSimplex" sheetId="8" r:id="rId5"/>
    <sheet name="Biseção" sheetId="3" r:id="rId6"/>
    <sheet name="SeçãoÁurea" sheetId="2" r:id="rId7"/>
    <sheet name="Gradiente (Cauchy)" sheetId="4" r:id="rId8"/>
    <sheet name="Newton" sheetId="5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9" l="1"/>
  <c r="Q24" i="9"/>
  <c r="Y23" i="9"/>
  <c r="X23" i="9"/>
  <c r="W23" i="9"/>
  <c r="V23" i="9"/>
  <c r="U23" i="9"/>
  <c r="T23" i="9"/>
  <c r="S23" i="9"/>
  <c r="R23" i="9"/>
  <c r="T15" i="9"/>
  <c r="T14" i="9"/>
  <c r="Q15" i="9"/>
  <c r="Q14" i="9"/>
  <c r="B24" i="9" s="1"/>
  <c r="Y13" i="9"/>
  <c r="X13" i="9"/>
  <c r="I23" i="9" s="1"/>
  <c r="W13" i="9"/>
  <c r="V13" i="9"/>
  <c r="U13" i="9"/>
  <c r="F23" i="9" s="1"/>
  <c r="T13" i="9"/>
  <c r="E23" i="9" s="1"/>
  <c r="S13" i="9"/>
  <c r="R13" i="9"/>
  <c r="B15" i="9"/>
  <c r="B14" i="9"/>
  <c r="J13" i="9"/>
  <c r="I13" i="9"/>
  <c r="H13" i="9"/>
  <c r="G13" i="9"/>
  <c r="F13" i="9"/>
  <c r="E13" i="9"/>
  <c r="D13" i="9"/>
  <c r="C13" i="9"/>
  <c r="M4" i="9" a="1"/>
  <c r="M4" i="9" s="1"/>
  <c r="N4" i="9" s="1"/>
  <c r="H6" i="4"/>
  <c r="BT24" i="7"/>
  <c r="CC23" i="7"/>
  <c r="CB23" i="7"/>
  <c r="CA23" i="7"/>
  <c r="BZ23" i="7"/>
  <c r="BY23" i="7"/>
  <c r="BX23" i="7"/>
  <c r="BW23" i="7"/>
  <c r="BV23" i="7"/>
  <c r="BU23" i="7"/>
  <c r="BU14" i="7"/>
  <c r="BT14" i="7"/>
  <c r="AC22" i="7" s="1"/>
  <c r="AC31" i="7" s="1"/>
  <c r="AC40" i="7" s="1"/>
  <c r="CC13" i="7"/>
  <c r="CB13" i="7"/>
  <c r="CA13" i="7"/>
  <c r="AJ21" i="7" s="1"/>
  <c r="AJ30" i="7" s="1"/>
  <c r="AJ39" i="7" s="1"/>
  <c r="AJ48" i="7" s="1"/>
  <c r="BZ13" i="7"/>
  <c r="BY13" i="7"/>
  <c r="BX13" i="7"/>
  <c r="BW13" i="7"/>
  <c r="BV13" i="7"/>
  <c r="BU13" i="7"/>
  <c r="AD21" i="7" s="1"/>
  <c r="AD30" i="7" s="1"/>
  <c r="AD39" i="7" s="1"/>
  <c r="AD48" i="7" s="1"/>
  <c r="AK21" i="7"/>
  <c r="AK30" i="7" s="1"/>
  <c r="AK39" i="7" s="1"/>
  <c r="AK48" i="7" s="1"/>
  <c r="AF21" i="7"/>
  <c r="AF30" i="7" s="1"/>
  <c r="AF39" i="7" s="1"/>
  <c r="AF48" i="7" s="1"/>
  <c r="CG8" i="7"/>
  <c r="CF8" i="7" s="1"/>
  <c r="CF9" i="7" s="1"/>
  <c r="CF10" i="7" s="1"/>
  <c r="CF7" i="7"/>
  <c r="CF6" i="7"/>
  <c r="CF5" i="7"/>
  <c r="CE8" i="7"/>
  <c r="CE7" i="7"/>
  <c r="CE6" i="7"/>
  <c r="CE5" i="7"/>
  <c r="CG4" i="7"/>
  <c r="CF4" i="7" a="1"/>
  <c r="CF4" i="7" s="1"/>
  <c r="AC13" i="7"/>
  <c r="AK12" i="7"/>
  <c r="AJ12" i="7"/>
  <c r="AI12" i="7"/>
  <c r="AH12" i="7"/>
  <c r="AG12" i="7"/>
  <c r="AF12" i="7"/>
  <c r="AE12" i="7"/>
  <c r="AD12" i="7"/>
  <c r="AN4" i="7" a="1"/>
  <c r="AN4" i="7" s="1"/>
  <c r="AO4" i="7" s="1"/>
  <c r="AH4" i="7"/>
  <c r="BG12" i="7"/>
  <c r="BM11" i="7"/>
  <c r="BL11" i="7"/>
  <c r="BK11" i="7"/>
  <c r="BJ11" i="7"/>
  <c r="BI11" i="7"/>
  <c r="BH11" i="7"/>
  <c r="BP4" i="7" a="1"/>
  <c r="BP4" i="7" s="1"/>
  <c r="BQ4" i="7" s="1"/>
  <c r="B18" i="11"/>
  <c r="B17" i="11"/>
  <c r="B16" i="11"/>
  <c r="B15" i="11"/>
  <c r="B14" i="11"/>
  <c r="J13" i="11"/>
  <c r="I13" i="11"/>
  <c r="H13" i="11"/>
  <c r="G13" i="11"/>
  <c r="F13" i="11"/>
  <c r="E13" i="11"/>
  <c r="D13" i="11"/>
  <c r="C13" i="11"/>
  <c r="M11" i="11"/>
  <c r="J15" i="11" s="1"/>
  <c r="B31" i="10"/>
  <c r="H30" i="10"/>
  <c r="G30" i="10"/>
  <c r="F30" i="10"/>
  <c r="E30" i="10"/>
  <c r="D30" i="10"/>
  <c r="C30" i="10"/>
  <c r="B23" i="10"/>
  <c r="B32" i="10" s="1"/>
  <c r="B22" i="10"/>
  <c r="H21" i="10"/>
  <c r="G21" i="10"/>
  <c r="F21" i="10"/>
  <c r="E21" i="10"/>
  <c r="D21" i="10"/>
  <c r="C21" i="10"/>
  <c r="B16" i="10"/>
  <c r="B25" i="10" s="1"/>
  <c r="B34" i="10" s="1"/>
  <c r="B15" i="10"/>
  <c r="B24" i="10" s="1"/>
  <c r="B33" i="10" s="1"/>
  <c r="B14" i="10"/>
  <c r="B13" i="10"/>
  <c r="H12" i="10"/>
  <c r="G12" i="10"/>
  <c r="F12" i="10"/>
  <c r="E12" i="10"/>
  <c r="D12" i="10"/>
  <c r="C12" i="10"/>
  <c r="K27" i="10"/>
  <c r="K18" i="10"/>
  <c r="K10" i="10"/>
  <c r="G15" i="10" s="1"/>
  <c r="K9" i="10"/>
  <c r="B25" i="9"/>
  <c r="J23" i="9"/>
  <c r="H23" i="9"/>
  <c r="G23" i="9"/>
  <c r="D23" i="9"/>
  <c r="C23" i="9"/>
  <c r="AB4" i="9" a="1"/>
  <c r="AB4" i="9" s="1"/>
  <c r="AC4" i="9" s="1"/>
  <c r="AR20" i="7"/>
  <c r="AY19" i="7"/>
  <c r="AX19" i="7"/>
  <c r="AW19" i="7"/>
  <c r="AV19" i="7"/>
  <c r="AU19" i="7"/>
  <c r="AT19" i="7"/>
  <c r="AS19" i="7"/>
  <c r="AR12" i="7"/>
  <c r="AY11" i="7"/>
  <c r="AX11" i="7"/>
  <c r="AW11" i="7"/>
  <c r="AV11" i="7"/>
  <c r="AU11" i="7"/>
  <c r="AT11" i="7"/>
  <c r="AS11" i="7"/>
  <c r="BB4" i="7" a="1"/>
  <c r="BB4" i="7" s="1"/>
  <c r="BC4" i="7" s="1"/>
  <c r="AI21" i="7"/>
  <c r="AI30" i="7" s="1"/>
  <c r="AI39" i="7" s="1"/>
  <c r="AI48" i="7" s="1"/>
  <c r="AH21" i="7"/>
  <c r="AH30" i="7" s="1"/>
  <c r="AH39" i="7" s="1"/>
  <c r="AH48" i="7" s="1"/>
  <c r="AG21" i="7"/>
  <c r="AG30" i="7" s="1"/>
  <c r="AG39" i="7" s="1"/>
  <c r="AG48" i="7" s="1"/>
  <c r="AE21" i="7"/>
  <c r="AE30" i="7" s="1"/>
  <c r="AE39" i="7" s="1"/>
  <c r="AE48" i="7" s="1"/>
  <c r="O58" i="7"/>
  <c r="V57" i="7"/>
  <c r="U57" i="7"/>
  <c r="T57" i="7"/>
  <c r="S57" i="7"/>
  <c r="R57" i="7"/>
  <c r="Q57" i="7"/>
  <c r="P57" i="7"/>
  <c r="O49" i="7"/>
  <c r="V48" i="7"/>
  <c r="U48" i="7"/>
  <c r="T48" i="7"/>
  <c r="S48" i="7"/>
  <c r="R48" i="7"/>
  <c r="Q48" i="7"/>
  <c r="P48" i="7"/>
  <c r="O40" i="7"/>
  <c r="V39" i="7"/>
  <c r="U39" i="7"/>
  <c r="T39" i="7"/>
  <c r="S39" i="7"/>
  <c r="R39" i="7"/>
  <c r="Q39" i="7"/>
  <c r="P39" i="7"/>
  <c r="O31" i="7"/>
  <c r="V30" i="7"/>
  <c r="U30" i="7"/>
  <c r="T30" i="7"/>
  <c r="S30" i="7"/>
  <c r="R30" i="7"/>
  <c r="Q30" i="7"/>
  <c r="P30" i="7"/>
  <c r="O22" i="7"/>
  <c r="V21" i="7"/>
  <c r="U21" i="7"/>
  <c r="T21" i="7"/>
  <c r="S21" i="7"/>
  <c r="R21" i="7"/>
  <c r="Q21" i="7"/>
  <c r="P21" i="7"/>
  <c r="Q13" i="7"/>
  <c r="O13" i="7"/>
  <c r="V12" i="7"/>
  <c r="U12" i="7"/>
  <c r="T12" i="7"/>
  <c r="S12" i="7"/>
  <c r="R12" i="7"/>
  <c r="Q12" i="7"/>
  <c r="P12" i="7"/>
  <c r="Y4" i="7" a="1"/>
  <c r="Y4" i="7" s="1"/>
  <c r="Z4" i="7" s="1"/>
  <c r="B14" i="8"/>
  <c r="J13" i="8"/>
  <c r="I13" i="8"/>
  <c r="H13" i="8"/>
  <c r="G13" i="8"/>
  <c r="F13" i="8"/>
  <c r="E13" i="8"/>
  <c r="D13" i="8"/>
  <c r="C13" i="8"/>
  <c r="C13" i="7"/>
  <c r="C9" i="8"/>
  <c r="D9" i="8"/>
  <c r="I9" i="8"/>
  <c r="I10" i="8"/>
  <c r="D10" i="8"/>
  <c r="C10" i="8"/>
  <c r="N4" i="8"/>
  <c r="E10" i="8" s="1"/>
  <c r="M4" i="8" a="1"/>
  <c r="M4" i="8" s="1"/>
  <c r="K4" i="7" a="1"/>
  <c r="K4" i="7" s="1"/>
  <c r="L4" i="7" s="1"/>
  <c r="P5" i="7"/>
  <c r="P4" i="7"/>
  <c r="T4" i="7"/>
  <c r="S4" i="7"/>
  <c r="R4" i="7"/>
  <c r="Q4" i="7"/>
  <c r="B49" i="7"/>
  <c r="H48" i="7"/>
  <c r="G48" i="7"/>
  <c r="F48" i="7"/>
  <c r="E48" i="7"/>
  <c r="D48" i="7"/>
  <c r="C48" i="7"/>
  <c r="B40" i="7"/>
  <c r="H39" i="7"/>
  <c r="G39" i="7"/>
  <c r="F39" i="7"/>
  <c r="E39" i="7"/>
  <c r="D39" i="7"/>
  <c r="C39" i="7"/>
  <c r="B31" i="7"/>
  <c r="H30" i="7"/>
  <c r="G30" i="7"/>
  <c r="F30" i="7"/>
  <c r="E30" i="7"/>
  <c r="D30" i="7"/>
  <c r="C30" i="7"/>
  <c r="B22" i="7"/>
  <c r="H21" i="7"/>
  <c r="G21" i="7"/>
  <c r="F21" i="7"/>
  <c r="E21" i="7"/>
  <c r="D21" i="7"/>
  <c r="C21" i="7"/>
  <c r="B13" i="7"/>
  <c r="H12" i="7"/>
  <c r="G12" i="7"/>
  <c r="F12" i="7"/>
  <c r="E12" i="7"/>
  <c r="D12" i="7"/>
  <c r="C12" i="7"/>
  <c r="F4" i="7"/>
  <c r="E4" i="7"/>
  <c r="D4" i="7"/>
  <c r="C4" i="7"/>
  <c r="B9" i="5"/>
  <c r="E8" i="5"/>
  <c r="D8" i="5"/>
  <c r="C8" i="5"/>
  <c r="B8" i="5"/>
  <c r="E7" i="5"/>
  <c r="D7" i="5"/>
  <c r="C7" i="5"/>
  <c r="E6" i="5"/>
  <c r="B7" i="5" s="1"/>
  <c r="C6" i="5"/>
  <c r="D6" i="5"/>
  <c r="G7" i="4"/>
  <c r="G6" i="4"/>
  <c r="E6" i="4"/>
  <c r="F6" i="4" s="1"/>
  <c r="D6" i="4"/>
  <c r="B10" i="3"/>
  <c r="F10" i="3"/>
  <c r="L10" i="3" s="1"/>
  <c r="H7" i="3"/>
  <c r="I7" i="3"/>
  <c r="J7" i="3"/>
  <c r="J6" i="3"/>
  <c r="I6" i="3"/>
  <c r="H6" i="3"/>
  <c r="F6" i="3"/>
  <c r="B6" i="3"/>
  <c r="L6" i="3" s="1"/>
  <c r="F7" i="2"/>
  <c r="C8" i="2"/>
  <c r="G8" i="2" s="1"/>
  <c r="D8" i="2"/>
  <c r="J8" i="2"/>
  <c r="I8" i="2"/>
  <c r="H8" i="2"/>
  <c r="F8" i="2"/>
  <c r="E8" i="2"/>
  <c r="B8" i="2"/>
  <c r="I7" i="2"/>
  <c r="H7" i="2"/>
  <c r="G7" i="2"/>
  <c r="J7" i="2"/>
  <c r="D7" i="2"/>
  <c r="C7" i="2"/>
  <c r="E7" i="2"/>
  <c r="B7" i="2"/>
  <c r="A4" i="2"/>
  <c r="N7" i="9" l="1"/>
  <c r="N8" i="9"/>
  <c r="N6" i="9"/>
  <c r="E14" i="9"/>
  <c r="E15" i="9"/>
  <c r="BV14" i="7"/>
  <c r="BW14" i="7"/>
  <c r="BX14" i="7"/>
  <c r="BY14" i="7"/>
  <c r="BZ14" i="7"/>
  <c r="CA14" i="7"/>
  <c r="CB14" i="7"/>
  <c r="CC14" i="7"/>
  <c r="BT18" i="7"/>
  <c r="BT17" i="7"/>
  <c r="BT16" i="7"/>
  <c r="BT15" i="7"/>
  <c r="AO5" i="7"/>
  <c r="AO7" i="7"/>
  <c r="AO6" i="7"/>
  <c r="AF13" i="7"/>
  <c r="AC49" i="7"/>
  <c r="BQ6" i="7"/>
  <c r="BQ5" i="7"/>
  <c r="G14" i="11"/>
  <c r="C14" i="11"/>
  <c r="F14" i="11"/>
  <c r="F15" i="11"/>
  <c r="D14" i="11"/>
  <c r="J16" i="11"/>
  <c r="J17" i="11"/>
  <c r="J18" i="11"/>
  <c r="C15" i="11"/>
  <c r="C16" i="11"/>
  <c r="C17" i="11"/>
  <c r="C18" i="11"/>
  <c r="D15" i="11"/>
  <c r="D16" i="11"/>
  <c r="D17" i="11"/>
  <c r="D18" i="11"/>
  <c r="H14" i="11"/>
  <c r="E15" i="11"/>
  <c r="E16" i="11"/>
  <c r="E17" i="11"/>
  <c r="E18" i="11"/>
  <c r="I14" i="11"/>
  <c r="F16" i="11"/>
  <c r="F17" i="11"/>
  <c r="F18" i="11"/>
  <c r="J14" i="11"/>
  <c r="G15" i="11"/>
  <c r="G16" i="11"/>
  <c r="G17" i="11"/>
  <c r="G18" i="11"/>
  <c r="H15" i="11"/>
  <c r="H16" i="11"/>
  <c r="H17" i="11"/>
  <c r="H18" i="11"/>
  <c r="I15" i="11"/>
  <c r="I16" i="11"/>
  <c r="I17" i="11"/>
  <c r="I18" i="11"/>
  <c r="E14" i="11"/>
  <c r="E13" i="10"/>
  <c r="E16" i="10"/>
  <c r="E14" i="10"/>
  <c r="G14" i="10"/>
  <c r="F14" i="10"/>
  <c r="E15" i="10"/>
  <c r="H15" i="10"/>
  <c r="D13" i="10"/>
  <c r="C16" i="10"/>
  <c r="F13" i="10"/>
  <c r="H14" i="10"/>
  <c r="G13" i="10"/>
  <c r="C15" i="10"/>
  <c r="H13" i="10"/>
  <c r="D15" i="10"/>
  <c r="F16" i="10"/>
  <c r="C14" i="10"/>
  <c r="G16" i="10"/>
  <c r="D14" i="10"/>
  <c r="F15" i="10"/>
  <c r="H16" i="10"/>
  <c r="D16" i="10"/>
  <c r="C13" i="10"/>
  <c r="AC6" i="9"/>
  <c r="AC8" i="9"/>
  <c r="AC7" i="9"/>
  <c r="BC6" i="7"/>
  <c r="BC5" i="7"/>
  <c r="B16" i="8"/>
  <c r="B15" i="8"/>
  <c r="I8" i="8"/>
  <c r="H8" i="8"/>
  <c r="G8" i="8"/>
  <c r="F8" i="8"/>
  <c r="E8" i="8"/>
  <c r="D8" i="8"/>
  <c r="C8" i="8"/>
  <c r="E9" i="8"/>
  <c r="F9" i="8"/>
  <c r="H9" i="8"/>
  <c r="G9" i="8"/>
  <c r="H10" i="8"/>
  <c r="G10" i="8"/>
  <c r="F10" i="8"/>
  <c r="CG7" i="7"/>
  <c r="CG6" i="7"/>
  <c r="CG5" i="7"/>
  <c r="Z5" i="7"/>
  <c r="Z7" i="7"/>
  <c r="Z6" i="7"/>
  <c r="L5" i="7"/>
  <c r="L7" i="7"/>
  <c r="L6" i="7"/>
  <c r="B7" i="4"/>
  <c r="C7" i="4"/>
  <c r="D10" i="3"/>
  <c r="B7" i="3"/>
  <c r="F7" i="3"/>
  <c r="D6" i="3"/>
  <c r="D9" i="2"/>
  <c r="H9" i="2" s="1"/>
  <c r="E9" i="2"/>
  <c r="I9" i="2" s="1"/>
  <c r="B9" i="2"/>
  <c r="F9" i="2" s="1"/>
  <c r="C9" i="2"/>
  <c r="G9" i="2" s="1"/>
  <c r="L6" i="9" l="1"/>
  <c r="M6" i="9"/>
  <c r="M7" i="9"/>
  <c r="L7" i="9"/>
  <c r="M8" i="9"/>
  <c r="L8" i="9"/>
  <c r="AB6" i="9"/>
  <c r="AA6" i="9"/>
  <c r="AB7" i="9"/>
  <c r="AA7" i="9"/>
  <c r="H7" i="4"/>
  <c r="CF14" i="7" a="1"/>
  <c r="CF14" i="7" s="1"/>
  <c r="CG14" i="7" s="1"/>
  <c r="BU18" i="7"/>
  <c r="CC18" i="7"/>
  <c r="CB18" i="7"/>
  <c r="BX18" i="7"/>
  <c r="BW18" i="7"/>
  <c r="CA18" i="7"/>
  <c r="BZ18" i="7"/>
  <c r="BV18" i="7"/>
  <c r="BY18" i="7"/>
  <c r="BU17" i="7"/>
  <c r="CC17" i="7"/>
  <c r="BX17" i="7"/>
  <c r="CB17" i="7"/>
  <c r="CA17" i="7"/>
  <c r="BZ17" i="7"/>
  <c r="BY17" i="7"/>
  <c r="BW17" i="7"/>
  <c r="BV17" i="7"/>
  <c r="BU16" i="7"/>
  <c r="CC16" i="7"/>
  <c r="BW16" i="7"/>
  <c r="BV16" i="7"/>
  <c r="CB16" i="7"/>
  <c r="CA16" i="7"/>
  <c r="BX16" i="7"/>
  <c r="BZ16" i="7"/>
  <c r="BY16" i="7"/>
  <c r="BU15" i="7"/>
  <c r="BZ15" i="7"/>
  <c r="BX15" i="7"/>
  <c r="BY15" i="7"/>
  <c r="BW15" i="7"/>
  <c r="BV15" i="7"/>
  <c r="CC15" i="7"/>
  <c r="CB15" i="7"/>
  <c r="CA15" i="7"/>
  <c r="AN6" i="7"/>
  <c r="AM6" i="7"/>
  <c r="AN7" i="7"/>
  <c r="AM7" i="7"/>
  <c r="AN5" i="7"/>
  <c r="AM5" i="7"/>
  <c r="BP5" i="7"/>
  <c r="BO5" i="7"/>
  <c r="BO6" i="7"/>
  <c r="BP6" i="7"/>
  <c r="H22" i="10"/>
  <c r="K19" i="10"/>
  <c r="Y6" i="7"/>
  <c r="X6" i="7"/>
  <c r="Y5" i="7"/>
  <c r="Y9" i="7" s="1"/>
  <c r="X5" i="7"/>
  <c r="Y7" i="7"/>
  <c r="X7" i="7"/>
  <c r="BB5" i="7"/>
  <c r="BA5" i="7"/>
  <c r="BB6" i="7"/>
  <c r="BA6" i="7"/>
  <c r="M10" i="8"/>
  <c r="M9" i="8"/>
  <c r="M5" i="8" a="1"/>
  <c r="M5" i="8" s="1"/>
  <c r="K6" i="7"/>
  <c r="J6" i="7"/>
  <c r="K7" i="7"/>
  <c r="J7" i="7"/>
  <c r="K5" i="7"/>
  <c r="J5" i="7"/>
  <c r="D7" i="4"/>
  <c r="B8" i="4"/>
  <c r="E7" i="4"/>
  <c r="C8" i="4" s="1"/>
  <c r="E10" i="3"/>
  <c r="J10" i="3" s="1"/>
  <c r="I10" i="3"/>
  <c r="C10" i="3"/>
  <c r="H10" i="3" s="1"/>
  <c r="L7" i="3"/>
  <c r="D7" i="3"/>
  <c r="E7" i="3" s="1"/>
  <c r="E6" i="3"/>
  <c r="C6" i="3"/>
  <c r="D10" i="2"/>
  <c r="H10" i="2" s="1"/>
  <c r="C10" i="2"/>
  <c r="G10" i="2" s="1"/>
  <c r="B10" i="2"/>
  <c r="F10" i="2" s="1"/>
  <c r="E10" i="2"/>
  <c r="J9" i="2"/>
  <c r="AB10" i="9" l="1"/>
  <c r="M10" i="9"/>
  <c r="BV24" i="7"/>
  <c r="CG16" i="7"/>
  <c r="CE16" i="7" s="1"/>
  <c r="CG18" i="7"/>
  <c r="CF18" i="7" s="1"/>
  <c r="CG15" i="7"/>
  <c r="CF15" i="7" s="1"/>
  <c r="CG17" i="7"/>
  <c r="CE17" i="7" s="1"/>
  <c r="AN9" i="7"/>
  <c r="BP8" i="7"/>
  <c r="BB8" i="7"/>
  <c r="C22" i="10"/>
  <c r="F23" i="10"/>
  <c r="F24" i="10"/>
  <c r="F25" i="10"/>
  <c r="F22" i="10"/>
  <c r="D25" i="10"/>
  <c r="G25" i="10"/>
  <c r="H23" i="10"/>
  <c r="G22" i="10"/>
  <c r="D22" i="10"/>
  <c r="C24" i="10"/>
  <c r="D24" i="10"/>
  <c r="H25" i="10"/>
  <c r="E23" i="10"/>
  <c r="E24" i="10"/>
  <c r="G23" i="10"/>
  <c r="G24" i="10"/>
  <c r="H24" i="10"/>
  <c r="E22" i="10"/>
  <c r="E25" i="10"/>
  <c r="D23" i="10"/>
  <c r="C23" i="10"/>
  <c r="C25" i="10"/>
  <c r="O15" i="7"/>
  <c r="O16" i="7"/>
  <c r="Y10" i="7"/>
  <c r="P13" i="7" s="1"/>
  <c r="O14" i="7"/>
  <c r="J16" i="8"/>
  <c r="E16" i="8"/>
  <c r="F16" i="8"/>
  <c r="D16" i="8"/>
  <c r="G16" i="8"/>
  <c r="H16" i="8"/>
  <c r="I16" i="8"/>
  <c r="G15" i="8"/>
  <c r="I15" i="8"/>
  <c r="E15" i="8"/>
  <c r="F15" i="8"/>
  <c r="H15" i="8"/>
  <c r="C16" i="8"/>
  <c r="C15" i="8"/>
  <c r="J15" i="8"/>
  <c r="D15" i="8"/>
  <c r="J14" i="8"/>
  <c r="I14" i="8"/>
  <c r="G14" i="8"/>
  <c r="F14" i="8"/>
  <c r="E14" i="8"/>
  <c r="H14" i="8"/>
  <c r="D14" i="8"/>
  <c r="B17" i="8"/>
  <c r="C14" i="8"/>
  <c r="K9" i="7"/>
  <c r="F7" i="4"/>
  <c r="C7" i="3"/>
  <c r="F8" i="3" s="1"/>
  <c r="D11" i="2"/>
  <c r="J10" i="2"/>
  <c r="I10" i="2"/>
  <c r="E11" i="2"/>
  <c r="H11" i="2"/>
  <c r="C11" i="2"/>
  <c r="G11" i="2" s="1"/>
  <c r="B11" i="2"/>
  <c r="F11" i="2" s="1"/>
  <c r="Q16" i="9" l="1"/>
  <c r="Q17" i="9"/>
  <c r="AB11" i="9"/>
  <c r="Y14" i="9" s="1"/>
  <c r="B17" i="9"/>
  <c r="B18" i="9"/>
  <c r="M11" i="9"/>
  <c r="I15" i="9" s="1"/>
  <c r="B16" i="9"/>
  <c r="CF17" i="7"/>
  <c r="CF16" i="7"/>
  <c r="CE18" i="7"/>
  <c r="CE15" i="7"/>
  <c r="AC15" i="7"/>
  <c r="AC16" i="7"/>
  <c r="AC14" i="7"/>
  <c r="AN10" i="7"/>
  <c r="AH13" i="7" s="1"/>
  <c r="BG13" i="7"/>
  <c r="BG14" i="7"/>
  <c r="BB9" i="7"/>
  <c r="AX12" i="7" s="1"/>
  <c r="BP9" i="7"/>
  <c r="BM12" i="7" s="1"/>
  <c r="AR13" i="7"/>
  <c r="AR14" i="7"/>
  <c r="AV12" i="7"/>
  <c r="G32" i="10"/>
  <c r="G33" i="10"/>
  <c r="K28" i="10"/>
  <c r="F31" i="10" s="1"/>
  <c r="P16" i="7"/>
  <c r="V16" i="7"/>
  <c r="U16" i="7"/>
  <c r="T16" i="7"/>
  <c r="S16" i="7"/>
  <c r="R16" i="7"/>
  <c r="Q16" i="7"/>
  <c r="S15" i="7"/>
  <c r="R15" i="7"/>
  <c r="Q15" i="7"/>
  <c r="U15" i="7"/>
  <c r="V15" i="7"/>
  <c r="T15" i="7"/>
  <c r="P15" i="7"/>
  <c r="P14" i="7"/>
  <c r="V14" i="7"/>
  <c r="U14" i="7"/>
  <c r="T14" i="7"/>
  <c r="S14" i="7"/>
  <c r="R14" i="7"/>
  <c r="Q14" i="7"/>
  <c r="R13" i="7"/>
  <c r="V13" i="7"/>
  <c r="S13" i="7"/>
  <c r="T13" i="7"/>
  <c r="U13" i="7"/>
  <c r="D20" i="8"/>
  <c r="D19" i="8"/>
  <c r="F19" i="8"/>
  <c r="F20" i="8"/>
  <c r="C19" i="8"/>
  <c r="C20" i="8"/>
  <c r="C17" i="8"/>
  <c r="I17" i="8"/>
  <c r="H17" i="8"/>
  <c r="F17" i="8"/>
  <c r="E17" i="8"/>
  <c r="G17" i="8"/>
  <c r="D17" i="8"/>
  <c r="J17" i="8"/>
  <c r="M14" i="8" s="1" a="1"/>
  <c r="M14" i="8" s="1"/>
  <c r="N14" i="8" s="1"/>
  <c r="H20" i="8" s="1"/>
  <c r="B16" i="7"/>
  <c r="B14" i="7"/>
  <c r="B15" i="7"/>
  <c r="K10" i="7"/>
  <c r="F13" i="7" s="1"/>
  <c r="B8" i="3"/>
  <c r="D8" i="3" s="1"/>
  <c r="I8" i="3" s="1"/>
  <c r="D12" i="2"/>
  <c r="H12" i="2" s="1"/>
  <c r="E12" i="2"/>
  <c r="C12" i="2"/>
  <c r="G12" i="2" s="1"/>
  <c r="B12" i="2"/>
  <c r="F12" i="2" s="1"/>
  <c r="J11" i="2"/>
  <c r="I11" i="2"/>
  <c r="S15" i="9" l="1"/>
  <c r="R17" i="9"/>
  <c r="Y17" i="9"/>
  <c r="X17" i="9"/>
  <c r="V17" i="9"/>
  <c r="W17" i="9"/>
  <c r="U17" i="9"/>
  <c r="T17" i="9"/>
  <c r="S17" i="9"/>
  <c r="R16" i="9"/>
  <c r="Y16" i="9"/>
  <c r="X16" i="9"/>
  <c r="V16" i="9"/>
  <c r="W16" i="9"/>
  <c r="U16" i="9"/>
  <c r="T16" i="9"/>
  <c r="S16" i="9"/>
  <c r="S14" i="9"/>
  <c r="U15" i="9"/>
  <c r="V15" i="9"/>
  <c r="W15" i="9"/>
  <c r="X15" i="9"/>
  <c r="Y15" i="9"/>
  <c r="R15" i="9"/>
  <c r="R14" i="9"/>
  <c r="U14" i="9"/>
  <c r="V14" i="9"/>
  <c r="W14" i="9"/>
  <c r="X14" i="9"/>
  <c r="H15" i="9"/>
  <c r="H14" i="9"/>
  <c r="G15" i="9"/>
  <c r="D15" i="9"/>
  <c r="J15" i="9"/>
  <c r="I14" i="9"/>
  <c r="C15" i="9"/>
  <c r="G14" i="9"/>
  <c r="D14" i="9"/>
  <c r="F14" i="9"/>
  <c r="F15" i="9"/>
  <c r="J14" i="9"/>
  <c r="C14" i="9"/>
  <c r="G16" i="9"/>
  <c r="F16" i="9"/>
  <c r="E16" i="9"/>
  <c r="J16" i="9"/>
  <c r="D16" i="9"/>
  <c r="C16" i="9"/>
  <c r="I16" i="9"/>
  <c r="H16" i="9"/>
  <c r="G18" i="9"/>
  <c r="F18" i="9"/>
  <c r="E18" i="9"/>
  <c r="D18" i="9"/>
  <c r="C18" i="9"/>
  <c r="J18" i="9"/>
  <c r="I18" i="9"/>
  <c r="H18" i="9"/>
  <c r="C17" i="9"/>
  <c r="J17" i="9"/>
  <c r="I17" i="9"/>
  <c r="F17" i="9"/>
  <c r="H17" i="9"/>
  <c r="G17" i="9"/>
  <c r="E17" i="9"/>
  <c r="D17" i="9"/>
  <c r="CF19" i="7"/>
  <c r="AG13" i="7"/>
  <c r="AD13" i="7"/>
  <c r="AE13" i="7"/>
  <c r="AJ13" i="7"/>
  <c r="AK13" i="7"/>
  <c r="AI13" i="7"/>
  <c r="AH14" i="7"/>
  <c r="AG14" i="7"/>
  <c r="AF14" i="7"/>
  <c r="AE14" i="7"/>
  <c r="AD14" i="7"/>
  <c r="AK14" i="7"/>
  <c r="AJ14" i="7"/>
  <c r="AI14" i="7"/>
  <c r="AH16" i="7"/>
  <c r="AG16" i="7"/>
  <c r="AF16" i="7"/>
  <c r="AE16" i="7"/>
  <c r="AD16" i="7"/>
  <c r="AK16" i="7"/>
  <c r="AI16" i="7"/>
  <c r="AJ16" i="7"/>
  <c r="AD15" i="7"/>
  <c r="AK15" i="7"/>
  <c r="AJ15" i="7"/>
  <c r="AI15" i="7"/>
  <c r="AH15" i="7"/>
  <c r="AG15" i="7"/>
  <c r="AE15" i="7"/>
  <c r="AF15" i="7"/>
  <c r="BK12" i="7"/>
  <c r="BM14" i="7"/>
  <c r="BL14" i="7"/>
  <c r="BK14" i="7"/>
  <c r="BJ14" i="7"/>
  <c r="BI14" i="7"/>
  <c r="BH14" i="7"/>
  <c r="BH13" i="7"/>
  <c r="BM13" i="7"/>
  <c r="BL13" i="7"/>
  <c r="BK13" i="7"/>
  <c r="BJ13" i="7"/>
  <c r="BI13" i="7"/>
  <c r="BH12" i="7"/>
  <c r="BI12" i="7"/>
  <c r="BJ12" i="7"/>
  <c r="BL12" i="7"/>
  <c r="AW12" i="7"/>
  <c r="AU12" i="7"/>
  <c r="AY14" i="7"/>
  <c r="AY12" i="7"/>
  <c r="AT12" i="7"/>
  <c r="AX13" i="7"/>
  <c r="AS12" i="7"/>
  <c r="AT14" i="7"/>
  <c r="AU14" i="7"/>
  <c r="AT13" i="7"/>
  <c r="AV13" i="7"/>
  <c r="AS14" i="7"/>
  <c r="AW13" i="7"/>
  <c r="AS13" i="7"/>
  <c r="AW14" i="7"/>
  <c r="AU13" i="7"/>
  <c r="AX14" i="7"/>
  <c r="AV14" i="7"/>
  <c r="AY13" i="7"/>
  <c r="G34" i="10"/>
  <c r="E31" i="10"/>
  <c r="G31" i="10"/>
  <c r="H32" i="10"/>
  <c r="D32" i="10"/>
  <c r="F32" i="10"/>
  <c r="H34" i="10"/>
  <c r="D34" i="10"/>
  <c r="C34" i="10"/>
  <c r="E32" i="10"/>
  <c r="H33" i="10"/>
  <c r="D33" i="10"/>
  <c r="C32" i="10"/>
  <c r="C33" i="10"/>
  <c r="E33" i="10"/>
  <c r="E34" i="10"/>
  <c r="F34" i="10"/>
  <c r="C31" i="10"/>
  <c r="H31" i="10"/>
  <c r="F33" i="10"/>
  <c r="D31" i="10"/>
  <c r="Y13" i="7" a="1"/>
  <c r="Y13" i="7" s="1"/>
  <c r="Z13" i="7" s="1"/>
  <c r="I19" i="8"/>
  <c r="I20" i="8"/>
  <c r="G20" i="8"/>
  <c r="F18" i="8"/>
  <c r="E18" i="8"/>
  <c r="D18" i="8"/>
  <c r="C18" i="8"/>
  <c r="M15" i="8" s="1" a="1"/>
  <c r="M15" i="8" s="1"/>
  <c r="I18" i="8"/>
  <c r="H18" i="8"/>
  <c r="G18" i="8"/>
  <c r="E20" i="8"/>
  <c r="M19" i="8" s="1"/>
  <c r="E19" i="8"/>
  <c r="H19" i="8"/>
  <c r="G19" i="8"/>
  <c r="C16" i="7"/>
  <c r="D16" i="7"/>
  <c r="G16" i="7"/>
  <c r="E16" i="7"/>
  <c r="H16" i="7"/>
  <c r="F16" i="7"/>
  <c r="C15" i="7"/>
  <c r="E15" i="7"/>
  <c r="D15" i="7"/>
  <c r="H15" i="7"/>
  <c r="G15" i="7"/>
  <c r="F15" i="7"/>
  <c r="C14" i="7"/>
  <c r="H14" i="7"/>
  <c r="F14" i="7"/>
  <c r="G14" i="7"/>
  <c r="E14" i="7"/>
  <c r="D14" i="7"/>
  <c r="D13" i="7"/>
  <c r="E13" i="7"/>
  <c r="G13" i="7"/>
  <c r="H13" i="7"/>
  <c r="L8" i="3"/>
  <c r="E8" i="3"/>
  <c r="J8" i="3" s="1"/>
  <c r="C8" i="3"/>
  <c r="H8" i="3" s="1"/>
  <c r="D13" i="2"/>
  <c r="H13" i="2" s="1"/>
  <c r="J12" i="2"/>
  <c r="I12" i="2"/>
  <c r="E13" i="2"/>
  <c r="C13" i="2"/>
  <c r="G13" i="2" s="1"/>
  <c r="B13" i="2"/>
  <c r="F13" i="2" s="1"/>
  <c r="AB14" i="9" l="1" a="1"/>
  <c r="AB14" i="9" s="1"/>
  <c r="AC14" i="9" s="1"/>
  <c r="M14" i="9" a="1"/>
  <c r="M14" i="9" s="1"/>
  <c r="N14" i="9" s="1"/>
  <c r="N18" i="9" s="1"/>
  <c r="M18" i="9" s="1"/>
  <c r="BT28" i="7"/>
  <c r="BT27" i="7"/>
  <c r="BT25" i="7"/>
  <c r="CF20" i="7"/>
  <c r="BU24" i="7" s="1"/>
  <c r="BT26" i="7"/>
  <c r="AN13" i="7" a="1"/>
  <c r="AN13" i="7" s="1"/>
  <c r="AO13" i="7" s="1"/>
  <c r="AO14" i="7" s="1"/>
  <c r="AM14" i="7" s="1"/>
  <c r="BP12" i="7" a="1"/>
  <c r="BP12" i="7" s="1"/>
  <c r="BQ12" i="7" s="1"/>
  <c r="BB12" i="7" a="1"/>
  <c r="BB12" i="7" s="1"/>
  <c r="BC12" i="7" s="1"/>
  <c r="BC14" i="7" s="1"/>
  <c r="R22" i="7"/>
  <c r="Z14" i="7"/>
  <c r="X14" i="7" s="1"/>
  <c r="Z15" i="7"/>
  <c r="Z16" i="7"/>
  <c r="Y16" i="7" s="1"/>
  <c r="M20" i="8"/>
  <c r="K13" i="7" a="1"/>
  <c r="K13" i="7" s="1"/>
  <c r="L13" i="7" s="1"/>
  <c r="B9" i="3"/>
  <c r="F9" i="3"/>
  <c r="D14" i="2"/>
  <c r="H14" i="2" s="1"/>
  <c r="C14" i="2"/>
  <c r="G14" i="2" s="1"/>
  <c r="B14" i="2"/>
  <c r="F14" i="2" s="1"/>
  <c r="E14" i="2"/>
  <c r="J13" i="2"/>
  <c r="I13" i="2"/>
  <c r="V25" i="9" l="1"/>
  <c r="V24" i="9"/>
  <c r="AC18" i="9"/>
  <c r="AC16" i="9"/>
  <c r="AA16" i="9" s="1"/>
  <c r="AC17" i="9"/>
  <c r="N17" i="9"/>
  <c r="L17" i="9" s="1"/>
  <c r="N16" i="9"/>
  <c r="M16" i="9" s="1"/>
  <c r="L18" i="9"/>
  <c r="BU28" i="7"/>
  <c r="CC28" i="7"/>
  <c r="CB28" i="7"/>
  <c r="CA28" i="7"/>
  <c r="BZ28" i="7"/>
  <c r="BV28" i="7"/>
  <c r="BY28" i="7"/>
  <c r="BX28" i="7"/>
  <c r="BW28" i="7"/>
  <c r="CB27" i="7"/>
  <c r="CA27" i="7"/>
  <c r="BZ27" i="7"/>
  <c r="BY27" i="7"/>
  <c r="BX27" i="7"/>
  <c r="BV27" i="7"/>
  <c r="CC27" i="7"/>
  <c r="BW27" i="7"/>
  <c r="BU27" i="7"/>
  <c r="BU26" i="7"/>
  <c r="CC26" i="7"/>
  <c r="BV26" i="7"/>
  <c r="CB26" i="7"/>
  <c r="CA26" i="7"/>
  <c r="BZ26" i="7"/>
  <c r="BY26" i="7"/>
  <c r="BX26" i="7"/>
  <c r="BW26" i="7"/>
  <c r="BU25" i="7"/>
  <c r="CC25" i="7"/>
  <c r="CB25" i="7"/>
  <c r="CA25" i="7"/>
  <c r="BZ25" i="7"/>
  <c r="BV25" i="7"/>
  <c r="BY25" i="7"/>
  <c r="BX25" i="7"/>
  <c r="BW25" i="7"/>
  <c r="CC24" i="7"/>
  <c r="CA24" i="7"/>
  <c r="BW24" i="7"/>
  <c r="BX24" i="7"/>
  <c r="BY24" i="7"/>
  <c r="BZ24" i="7"/>
  <c r="CB24" i="7"/>
  <c r="AO16" i="7"/>
  <c r="AN16" i="7" s="1"/>
  <c r="AO15" i="7"/>
  <c r="AM15" i="7" s="1"/>
  <c r="AN14" i="7"/>
  <c r="AN18" i="7" s="1"/>
  <c r="AN19" i="7" s="1"/>
  <c r="BQ14" i="7"/>
  <c r="BQ13" i="7"/>
  <c r="BC13" i="7"/>
  <c r="BA13" i="7" s="1"/>
  <c r="BA14" i="7"/>
  <c r="BB14" i="7"/>
  <c r="X16" i="7"/>
  <c r="Y14" i="7"/>
  <c r="X15" i="7"/>
  <c r="Y15" i="7"/>
  <c r="D22" i="7"/>
  <c r="L14" i="7"/>
  <c r="K14" i="7" s="1"/>
  <c r="L15" i="7"/>
  <c r="L16" i="7"/>
  <c r="L9" i="3"/>
  <c r="D9" i="3"/>
  <c r="I9" i="3" s="1"/>
  <c r="D15" i="2"/>
  <c r="H15" i="2" s="1"/>
  <c r="J14" i="2"/>
  <c r="I14" i="2"/>
  <c r="E15" i="2"/>
  <c r="C15" i="2"/>
  <c r="G15" i="2" s="1"/>
  <c r="B15" i="2"/>
  <c r="AB16" i="9" l="1"/>
  <c r="AA17" i="9"/>
  <c r="AB17" i="9"/>
  <c r="L16" i="9"/>
  <c r="M17" i="9"/>
  <c r="M20" i="9" s="1"/>
  <c r="M21" i="9" s="1"/>
  <c r="CF24" i="7" a="1"/>
  <c r="CF24" i="7" s="1"/>
  <c r="CG24" i="7" s="1"/>
  <c r="AN15" i="7"/>
  <c r="AM16" i="7"/>
  <c r="BO13" i="7"/>
  <c r="BP13" i="7"/>
  <c r="BP16" i="7" s="1"/>
  <c r="BP14" i="7"/>
  <c r="BO14" i="7"/>
  <c r="BB13" i="7"/>
  <c r="BB16" i="7" s="1"/>
  <c r="AR22" i="7" s="1"/>
  <c r="Y18" i="7"/>
  <c r="O24" i="7" s="1"/>
  <c r="J14" i="7"/>
  <c r="J16" i="7"/>
  <c r="K16" i="7"/>
  <c r="K15" i="7"/>
  <c r="J15" i="7"/>
  <c r="E9" i="3"/>
  <c r="J9" i="3" s="1"/>
  <c r="C9" i="3"/>
  <c r="H9" i="3" s="1"/>
  <c r="F15" i="2"/>
  <c r="D16" i="2"/>
  <c r="H16" i="2" s="1"/>
  <c r="E16" i="2"/>
  <c r="C16" i="2"/>
  <c r="G16" i="2" s="1"/>
  <c r="B16" i="2"/>
  <c r="J15" i="2"/>
  <c r="I15" i="2"/>
  <c r="AB20" i="9" l="1"/>
  <c r="CG26" i="7"/>
  <c r="CE26" i="7" s="1"/>
  <c r="CG27" i="7"/>
  <c r="CG25" i="7"/>
  <c r="CG28" i="7"/>
  <c r="BP17" i="7"/>
  <c r="AR21" i="7"/>
  <c r="AV21" i="7" s="1"/>
  <c r="BB17" i="7"/>
  <c r="AS22" i="7"/>
  <c r="AY22" i="7"/>
  <c r="AX22" i="7"/>
  <c r="AW22" i="7"/>
  <c r="AV22" i="7"/>
  <c r="AU22" i="7"/>
  <c r="AT22" i="7"/>
  <c r="AC24" i="7"/>
  <c r="AC25" i="7"/>
  <c r="AG22" i="7"/>
  <c r="AC23" i="7"/>
  <c r="O23" i="7"/>
  <c r="R23" i="7" s="1"/>
  <c r="Y19" i="7"/>
  <c r="Q22" i="7" s="1"/>
  <c r="R24" i="7"/>
  <c r="O25" i="7"/>
  <c r="K18" i="7"/>
  <c r="B17" i="2"/>
  <c r="E17" i="2"/>
  <c r="C17" i="2"/>
  <c r="G17" i="2" s="1"/>
  <c r="D17" i="2"/>
  <c r="H17" i="2" s="1"/>
  <c r="F16" i="2"/>
  <c r="J16" i="2"/>
  <c r="I16" i="2"/>
  <c r="Q27" i="9" l="1"/>
  <c r="AB21" i="9"/>
  <c r="D25" i="9" s="1"/>
  <c r="Q26" i="9"/>
  <c r="B28" i="9"/>
  <c r="H28" i="9" s="1"/>
  <c r="B27" i="9"/>
  <c r="B26" i="9"/>
  <c r="J24" i="9"/>
  <c r="G25" i="9"/>
  <c r="G24" i="9"/>
  <c r="E24" i="9"/>
  <c r="CF26" i="7"/>
  <c r="CF28" i="7"/>
  <c r="CE28" i="7"/>
  <c r="CE25" i="7"/>
  <c r="CF25" i="7"/>
  <c r="CF29" i="7" s="1"/>
  <c r="CF27" i="7"/>
  <c r="CE27" i="7"/>
  <c r="AD22" i="7"/>
  <c r="AT21" i="7"/>
  <c r="AS21" i="7"/>
  <c r="AW21" i="7"/>
  <c r="AX21" i="7"/>
  <c r="AU21" i="7"/>
  <c r="AY21" i="7"/>
  <c r="AY20" i="7"/>
  <c r="AX20" i="7"/>
  <c r="AU20" i="7"/>
  <c r="AT20" i="7"/>
  <c r="AW20" i="7"/>
  <c r="AS20" i="7"/>
  <c r="BB20" i="7" s="1" a="1"/>
  <c r="BB20" i="7" s="1"/>
  <c r="BC20" i="7" s="1"/>
  <c r="BC21" i="7" s="1"/>
  <c r="AV20" i="7"/>
  <c r="AD25" i="7"/>
  <c r="AH25" i="7"/>
  <c r="AF25" i="7"/>
  <c r="AK25" i="7"/>
  <c r="AJ25" i="7"/>
  <c r="AG25" i="7"/>
  <c r="AI25" i="7"/>
  <c r="AE25" i="7"/>
  <c r="AD24" i="7"/>
  <c r="AH24" i="7"/>
  <c r="AK24" i="7"/>
  <c r="AJ24" i="7"/>
  <c r="AI24" i="7"/>
  <c r="AG24" i="7"/>
  <c r="AF24" i="7"/>
  <c r="AE24" i="7"/>
  <c r="AH22" i="7"/>
  <c r="AJ22" i="7"/>
  <c r="AD23" i="7"/>
  <c r="AK23" i="7"/>
  <c r="AJ23" i="7"/>
  <c r="AI23" i="7"/>
  <c r="AH23" i="7"/>
  <c r="AF23" i="7"/>
  <c r="AE23" i="7"/>
  <c r="AG23" i="7"/>
  <c r="AE22" i="7"/>
  <c r="AI22" i="7"/>
  <c r="AF22" i="7"/>
  <c r="AK22" i="7"/>
  <c r="V22" i="7"/>
  <c r="S22" i="7"/>
  <c r="S24" i="7"/>
  <c r="T24" i="7"/>
  <c r="P24" i="7"/>
  <c r="U22" i="7"/>
  <c r="P23" i="7"/>
  <c r="S23" i="7"/>
  <c r="T23" i="7"/>
  <c r="P22" i="7"/>
  <c r="U23" i="7"/>
  <c r="U24" i="7"/>
  <c r="T22" i="7"/>
  <c r="V23" i="7"/>
  <c r="V24" i="7"/>
  <c r="P25" i="7"/>
  <c r="S25" i="7"/>
  <c r="R25" i="7"/>
  <c r="Q25" i="7"/>
  <c r="U25" i="7"/>
  <c r="V25" i="7"/>
  <c r="T25" i="7"/>
  <c r="Q23" i="7"/>
  <c r="Q24" i="7"/>
  <c r="B24" i="7"/>
  <c r="B25" i="7"/>
  <c r="K19" i="7"/>
  <c r="H22" i="7" s="1"/>
  <c r="B23" i="7"/>
  <c r="E18" i="2"/>
  <c r="B18" i="2"/>
  <c r="C18" i="2"/>
  <c r="G18" i="2" s="1"/>
  <c r="D18" i="2"/>
  <c r="H18" i="2" s="1"/>
  <c r="I17" i="2"/>
  <c r="J17" i="2"/>
  <c r="F17" i="2"/>
  <c r="Y27" i="9" l="1"/>
  <c r="V27" i="9"/>
  <c r="T27" i="9"/>
  <c r="X27" i="9"/>
  <c r="U27" i="9"/>
  <c r="S27" i="9"/>
  <c r="W27" i="9"/>
  <c r="R27" i="9"/>
  <c r="C27" i="9"/>
  <c r="R26" i="9"/>
  <c r="Y26" i="9"/>
  <c r="X26" i="9"/>
  <c r="W26" i="9"/>
  <c r="V26" i="9"/>
  <c r="U26" i="9"/>
  <c r="T26" i="9"/>
  <c r="S26" i="9"/>
  <c r="U25" i="9"/>
  <c r="X25" i="9"/>
  <c r="H24" i="9"/>
  <c r="G28" i="9"/>
  <c r="S25" i="9"/>
  <c r="C28" i="9"/>
  <c r="T25" i="9"/>
  <c r="W25" i="9"/>
  <c r="Y25" i="9"/>
  <c r="I28" i="9"/>
  <c r="R24" i="9"/>
  <c r="F24" i="9"/>
  <c r="E25" i="9"/>
  <c r="F28" i="9"/>
  <c r="D24" i="9"/>
  <c r="S24" i="9"/>
  <c r="E27" i="9"/>
  <c r="E26" i="9"/>
  <c r="U24" i="9"/>
  <c r="C25" i="9"/>
  <c r="F25" i="9"/>
  <c r="D27" i="9"/>
  <c r="H27" i="9"/>
  <c r="T24" i="9"/>
  <c r="C24" i="9"/>
  <c r="H25" i="9"/>
  <c r="J28" i="9"/>
  <c r="W24" i="9"/>
  <c r="I25" i="9"/>
  <c r="I24" i="9"/>
  <c r="E28" i="9"/>
  <c r="R25" i="9"/>
  <c r="I27" i="9"/>
  <c r="I26" i="9"/>
  <c r="X24" i="9"/>
  <c r="Y24" i="9"/>
  <c r="F27" i="9"/>
  <c r="D28" i="9"/>
  <c r="J25" i="9"/>
  <c r="G27" i="9"/>
  <c r="H26" i="9"/>
  <c r="J26" i="9"/>
  <c r="C26" i="9"/>
  <c r="J27" i="9"/>
  <c r="F26" i="9"/>
  <c r="G26" i="9"/>
  <c r="D26" i="9"/>
  <c r="CF30" i="7"/>
  <c r="BB21" i="7"/>
  <c r="BC22" i="7"/>
  <c r="BA22" i="7" s="1"/>
  <c r="BA21" i="7"/>
  <c r="AN22" i="7" a="1"/>
  <c r="AN22" i="7" s="1"/>
  <c r="AO22" i="7" s="1"/>
  <c r="Y22" i="7" a="1"/>
  <c r="Y22" i="7" s="1"/>
  <c r="Z22" i="7" s="1"/>
  <c r="C25" i="7"/>
  <c r="G25" i="7"/>
  <c r="F25" i="7"/>
  <c r="H25" i="7"/>
  <c r="E25" i="7"/>
  <c r="D25" i="7"/>
  <c r="C24" i="7"/>
  <c r="H24" i="7"/>
  <c r="G24" i="7"/>
  <c r="F24" i="7"/>
  <c r="E24" i="7"/>
  <c r="D24" i="7"/>
  <c r="C23" i="7"/>
  <c r="H23" i="7"/>
  <c r="G23" i="7"/>
  <c r="F23" i="7"/>
  <c r="E23" i="7"/>
  <c r="D23" i="7"/>
  <c r="C22" i="7"/>
  <c r="E22" i="7"/>
  <c r="F22" i="7"/>
  <c r="G22" i="7"/>
  <c r="C19" i="2"/>
  <c r="G19" i="2" s="1"/>
  <c r="D19" i="2"/>
  <c r="H19" i="2" s="1"/>
  <c r="E19" i="2"/>
  <c r="B19" i="2"/>
  <c r="F18" i="2"/>
  <c r="J18" i="2"/>
  <c r="I18" i="2"/>
  <c r="AB24" i="9" l="1" a="1"/>
  <c r="AB24" i="9" s="1"/>
  <c r="AC24" i="9" s="1"/>
  <c r="M24" i="9" a="1"/>
  <c r="M24" i="9" s="1"/>
  <c r="N24" i="9" s="1"/>
  <c r="N26" i="9" s="1"/>
  <c r="M26" i="9" s="1"/>
  <c r="L26" i="9"/>
  <c r="CG34" i="7"/>
  <c r="BB22" i="7"/>
  <c r="BB24" i="7" s="1"/>
  <c r="BB25" i="7" s="1"/>
  <c r="AO23" i="7"/>
  <c r="AO25" i="7"/>
  <c r="AO24" i="7"/>
  <c r="T31" i="7"/>
  <c r="Z24" i="7"/>
  <c r="Y24" i="7" s="1"/>
  <c r="Z23" i="7"/>
  <c r="Z25" i="7"/>
  <c r="Y25" i="7" s="1"/>
  <c r="K22" i="7" a="1"/>
  <c r="K22" i="7" s="1"/>
  <c r="L22" i="7" s="1"/>
  <c r="F19" i="2"/>
  <c r="J19" i="2"/>
  <c r="I19" i="2"/>
  <c r="B20" i="2"/>
  <c r="D20" i="2"/>
  <c r="H20" i="2" s="1"/>
  <c r="C20" i="2"/>
  <c r="G20" i="2" s="1"/>
  <c r="E20" i="2"/>
  <c r="AC28" i="9" l="1"/>
  <c r="AC27" i="9"/>
  <c r="AC26" i="9"/>
  <c r="N27" i="9"/>
  <c r="M27" i="9" s="1"/>
  <c r="M30" i="9" s="1"/>
  <c r="M31" i="9" s="1"/>
  <c r="N28" i="9"/>
  <c r="L28" i="9" s="1"/>
  <c r="L27" i="9"/>
  <c r="CG44" i="7"/>
  <c r="CG36" i="7"/>
  <c r="CG38" i="7"/>
  <c r="CG35" i="7"/>
  <c r="CG37" i="7"/>
  <c r="AM23" i="7"/>
  <c r="AN23" i="7"/>
  <c r="AM24" i="7"/>
  <c r="AN24" i="7"/>
  <c r="AN25" i="7"/>
  <c r="AM25" i="7"/>
  <c r="X24" i="7"/>
  <c r="X25" i="7"/>
  <c r="Y23" i="7"/>
  <c r="Y27" i="7" s="1"/>
  <c r="X23" i="7"/>
  <c r="F31" i="7"/>
  <c r="L24" i="7"/>
  <c r="J24" i="7" s="1"/>
  <c r="L23" i="7"/>
  <c r="L25" i="7"/>
  <c r="K25" i="7" s="1"/>
  <c r="I20" i="2"/>
  <c r="J20" i="2"/>
  <c r="D21" i="2"/>
  <c r="H21" i="2" s="1"/>
  <c r="E21" i="2"/>
  <c r="C21" i="2"/>
  <c r="G21" i="2" s="1"/>
  <c r="B21" i="2"/>
  <c r="F20" i="2"/>
  <c r="AA26" i="9" l="1"/>
  <c r="AB26" i="9"/>
  <c r="AB30" i="9" s="1"/>
  <c r="AB31" i="9" s="1"/>
  <c r="AB27" i="9"/>
  <c r="AA27" i="9"/>
  <c r="M28" i="9"/>
  <c r="CG46" i="7"/>
  <c r="CG48" i="7"/>
  <c r="CG45" i="7"/>
  <c r="CG47" i="7"/>
  <c r="AN27" i="7"/>
  <c r="O33" i="7"/>
  <c r="O34" i="7"/>
  <c r="Y28" i="7"/>
  <c r="U31" i="7" s="1"/>
  <c r="O32" i="7"/>
  <c r="J25" i="7"/>
  <c r="K24" i="7"/>
  <c r="K23" i="7"/>
  <c r="J23" i="7"/>
  <c r="C22" i="2"/>
  <c r="G22" i="2" s="1"/>
  <c r="B22" i="2"/>
  <c r="E22" i="2"/>
  <c r="D22" i="2"/>
  <c r="H22" i="2" s="1"/>
  <c r="F21" i="2"/>
  <c r="I21" i="2"/>
  <c r="J21" i="2"/>
  <c r="AC33" i="7" l="1"/>
  <c r="AC34" i="7"/>
  <c r="AN28" i="7"/>
  <c r="AK31" i="7" s="1"/>
  <c r="AC32" i="7"/>
  <c r="V34" i="7"/>
  <c r="U34" i="7"/>
  <c r="T34" i="7"/>
  <c r="S34" i="7"/>
  <c r="R34" i="7"/>
  <c r="Q34" i="7"/>
  <c r="P34" i="7"/>
  <c r="P33" i="7"/>
  <c r="S33" i="7"/>
  <c r="R33" i="7"/>
  <c r="Q33" i="7"/>
  <c r="T33" i="7"/>
  <c r="V33" i="7"/>
  <c r="U33" i="7"/>
  <c r="P32" i="7"/>
  <c r="V32" i="7"/>
  <c r="U32" i="7"/>
  <c r="T32" i="7"/>
  <c r="S32" i="7"/>
  <c r="R32" i="7"/>
  <c r="Q32" i="7"/>
  <c r="P31" i="7"/>
  <c r="V31" i="7"/>
  <c r="Q31" i="7"/>
  <c r="R31" i="7"/>
  <c r="S31" i="7"/>
  <c r="K27" i="7"/>
  <c r="B33" i="7" s="1"/>
  <c r="J22" i="2"/>
  <c r="I22" i="2"/>
  <c r="F22" i="2"/>
  <c r="AE31" i="7" l="1"/>
  <c r="AK34" i="7"/>
  <c r="AJ34" i="7"/>
  <c r="AI34" i="7"/>
  <c r="AE34" i="7"/>
  <c r="AH34" i="7"/>
  <c r="AG34" i="7"/>
  <c r="AF34" i="7"/>
  <c r="AD34" i="7"/>
  <c r="AD33" i="7"/>
  <c r="AK33" i="7"/>
  <c r="AH33" i="7"/>
  <c r="AI33" i="7"/>
  <c r="AG33" i="7"/>
  <c r="AJ33" i="7"/>
  <c r="AF33" i="7"/>
  <c r="AE33" i="7"/>
  <c r="AD32" i="7"/>
  <c r="AH32" i="7"/>
  <c r="AK32" i="7"/>
  <c r="AI32" i="7"/>
  <c r="AG32" i="7"/>
  <c r="AF32" i="7"/>
  <c r="AE32" i="7"/>
  <c r="AJ32" i="7"/>
  <c r="AD31" i="7"/>
  <c r="AH31" i="7"/>
  <c r="AI31" i="7"/>
  <c r="AG31" i="7"/>
  <c r="AF31" i="7"/>
  <c r="AJ31" i="7"/>
  <c r="Y31" i="7" a="1"/>
  <c r="Y31" i="7" s="1"/>
  <c r="Z31" i="7" s="1"/>
  <c r="F33" i="7"/>
  <c r="B32" i="7"/>
  <c r="K28" i="7"/>
  <c r="H31" i="7" s="1"/>
  <c r="B34" i="7"/>
  <c r="AN31" i="7" l="1" a="1"/>
  <c r="AN31" i="7" s="1"/>
  <c r="AO31" i="7" s="1"/>
  <c r="Z32" i="7"/>
  <c r="Z34" i="7"/>
  <c r="Z33" i="7"/>
  <c r="C31" i="7"/>
  <c r="E31" i="7"/>
  <c r="D33" i="7"/>
  <c r="C34" i="7"/>
  <c r="G34" i="7"/>
  <c r="F34" i="7"/>
  <c r="E34" i="7"/>
  <c r="D34" i="7"/>
  <c r="H34" i="7"/>
  <c r="E33" i="7"/>
  <c r="G31" i="7"/>
  <c r="G33" i="7"/>
  <c r="H33" i="7"/>
  <c r="C33" i="7"/>
  <c r="C32" i="7"/>
  <c r="E32" i="7"/>
  <c r="G32" i="7"/>
  <c r="D32" i="7"/>
  <c r="F32" i="7"/>
  <c r="H32" i="7"/>
  <c r="D31" i="7"/>
  <c r="AO32" i="7" l="1"/>
  <c r="AO33" i="7"/>
  <c r="AO34" i="7"/>
  <c r="X33" i="7"/>
  <c r="Y33" i="7"/>
  <c r="X34" i="7"/>
  <c r="Y34" i="7"/>
  <c r="X32" i="7"/>
  <c r="Y32" i="7"/>
  <c r="Y36" i="7" s="1"/>
  <c r="K31" i="7" a="1"/>
  <c r="K31" i="7" s="1"/>
  <c r="L31" i="7" s="1"/>
  <c r="AM34" i="7" l="1"/>
  <c r="AN34" i="7"/>
  <c r="AN33" i="7"/>
  <c r="AM33" i="7"/>
  <c r="AN32" i="7"/>
  <c r="AN36" i="7" s="1"/>
  <c r="AM32" i="7"/>
  <c r="O42" i="7"/>
  <c r="O43" i="7"/>
  <c r="Y37" i="7"/>
  <c r="T40" i="7" s="1"/>
  <c r="O41" i="7"/>
  <c r="L34" i="7"/>
  <c r="J34" i="7" s="1"/>
  <c r="L32" i="7"/>
  <c r="L33" i="7"/>
  <c r="AC42" i="7" l="1"/>
  <c r="AC43" i="7"/>
  <c r="AN37" i="7"/>
  <c r="AH40" i="7" s="1"/>
  <c r="AC41" i="7"/>
  <c r="P43" i="7"/>
  <c r="V43" i="7"/>
  <c r="U43" i="7"/>
  <c r="T43" i="7"/>
  <c r="S43" i="7"/>
  <c r="R43" i="7"/>
  <c r="Q43" i="7"/>
  <c r="P42" i="7"/>
  <c r="V42" i="7"/>
  <c r="U42" i="7"/>
  <c r="T42" i="7"/>
  <c r="S42" i="7"/>
  <c r="Q42" i="7"/>
  <c r="R42" i="7"/>
  <c r="P41" i="7"/>
  <c r="V41" i="7"/>
  <c r="U41" i="7"/>
  <c r="T41" i="7"/>
  <c r="S41" i="7"/>
  <c r="R41" i="7"/>
  <c r="Q41" i="7"/>
  <c r="P40" i="7"/>
  <c r="Y40" i="7" s="1" a="1"/>
  <c r="Y40" i="7" s="1"/>
  <c r="Z40" i="7" s="1"/>
  <c r="V40" i="7"/>
  <c r="Q40" i="7"/>
  <c r="R40" i="7"/>
  <c r="S40" i="7"/>
  <c r="U40" i="7"/>
  <c r="K34" i="7"/>
  <c r="K33" i="7"/>
  <c r="J33" i="7"/>
  <c r="J32" i="7"/>
  <c r="K32" i="7"/>
  <c r="K36" i="7" s="1"/>
  <c r="AD43" i="7" l="1"/>
  <c r="AK43" i="7"/>
  <c r="AJ43" i="7"/>
  <c r="AI43" i="7"/>
  <c r="AH43" i="7"/>
  <c r="AG43" i="7"/>
  <c r="AF43" i="7"/>
  <c r="AE43" i="7"/>
  <c r="AD42" i="7"/>
  <c r="AK42" i="7"/>
  <c r="AJ42" i="7"/>
  <c r="AI42" i="7"/>
  <c r="AH42" i="7"/>
  <c r="AF42" i="7"/>
  <c r="AG42" i="7"/>
  <c r="AE42" i="7"/>
  <c r="AF40" i="7"/>
  <c r="AD41" i="7"/>
  <c r="AK41" i="7"/>
  <c r="AJ41" i="7"/>
  <c r="AI41" i="7"/>
  <c r="AG41" i="7"/>
  <c r="AH41" i="7"/>
  <c r="AE41" i="7"/>
  <c r="AF41" i="7"/>
  <c r="AD40" i="7"/>
  <c r="AN40" i="7" s="1" a="1"/>
  <c r="AN40" i="7" s="1"/>
  <c r="AO40" i="7" s="1"/>
  <c r="AE40" i="7"/>
  <c r="AK40" i="7"/>
  <c r="AI40" i="7"/>
  <c r="AJ40" i="7"/>
  <c r="AG40" i="7"/>
  <c r="P49" i="7"/>
  <c r="Y49" i="7" s="1" a="1"/>
  <c r="Y49" i="7" s="1"/>
  <c r="Z49" i="7" s="1"/>
  <c r="V49" i="7"/>
  <c r="U49" i="7"/>
  <c r="T49" i="7"/>
  <c r="S49" i="7"/>
  <c r="R49" i="7"/>
  <c r="Q49" i="7"/>
  <c r="Z41" i="7"/>
  <c r="X41" i="7" s="1"/>
  <c r="Z43" i="7"/>
  <c r="Y43" i="7" s="1"/>
  <c r="Z42" i="7"/>
  <c r="Y42" i="7" s="1"/>
  <c r="B42" i="7"/>
  <c r="B43" i="7"/>
  <c r="K37" i="7"/>
  <c r="H40" i="7" s="1"/>
  <c r="B41" i="7"/>
  <c r="AD49" i="7" l="1"/>
  <c r="AN49" i="7" s="1" a="1"/>
  <c r="AN49" i="7" s="1"/>
  <c r="AO49" i="7" s="1"/>
  <c r="AK49" i="7"/>
  <c r="AJ49" i="7"/>
  <c r="AI49" i="7"/>
  <c r="AH49" i="7"/>
  <c r="AF49" i="7"/>
  <c r="AG49" i="7"/>
  <c r="AE49" i="7"/>
  <c r="AO42" i="7"/>
  <c r="AN42" i="7" s="1"/>
  <c r="AO41" i="7"/>
  <c r="AM41" i="7" s="1"/>
  <c r="AO43" i="7"/>
  <c r="AN43" i="7" s="1"/>
  <c r="P58" i="7"/>
  <c r="Y58" i="7" s="1" a="1"/>
  <c r="Y58" i="7" s="1"/>
  <c r="Z58" i="7" s="1"/>
  <c r="V58" i="7"/>
  <c r="U58" i="7"/>
  <c r="T58" i="7"/>
  <c r="S58" i="7"/>
  <c r="R58" i="7"/>
  <c r="Q58" i="7"/>
  <c r="Z50" i="7"/>
  <c r="Z52" i="7"/>
  <c r="Z51" i="7"/>
  <c r="X42" i="7"/>
  <c r="Y41" i="7"/>
  <c r="Y45" i="7" s="1"/>
  <c r="Y46" i="7" s="1"/>
  <c r="X43" i="7"/>
  <c r="C43" i="7"/>
  <c r="H43" i="7"/>
  <c r="G43" i="7"/>
  <c r="F43" i="7"/>
  <c r="E43" i="7"/>
  <c r="D43" i="7"/>
  <c r="C42" i="7"/>
  <c r="H42" i="7"/>
  <c r="G42" i="7"/>
  <c r="F42" i="7"/>
  <c r="E42" i="7"/>
  <c r="D42" i="7"/>
  <c r="C40" i="7"/>
  <c r="K40" i="7" s="1" a="1"/>
  <c r="K40" i="7" s="1"/>
  <c r="L40" i="7" s="1"/>
  <c r="C41" i="7"/>
  <c r="H41" i="7"/>
  <c r="G41" i="7"/>
  <c r="F41" i="7"/>
  <c r="E41" i="7"/>
  <c r="D41" i="7"/>
  <c r="D40" i="7"/>
  <c r="E40" i="7"/>
  <c r="F40" i="7"/>
  <c r="G40" i="7"/>
  <c r="AO50" i="7" l="1"/>
  <c r="AO52" i="7"/>
  <c r="AO51" i="7"/>
  <c r="AM42" i="7"/>
  <c r="AM43" i="7"/>
  <c r="AN41" i="7"/>
  <c r="AN45" i="7" s="1"/>
  <c r="Z60" i="7"/>
  <c r="Z61" i="7"/>
  <c r="Z59" i="7"/>
  <c r="O50" i="7"/>
  <c r="O51" i="7"/>
  <c r="O52" i="7"/>
  <c r="C49" i="7"/>
  <c r="K49" i="7" s="1" a="1"/>
  <c r="K49" i="7" s="1"/>
  <c r="L49" i="7" s="1"/>
  <c r="H49" i="7"/>
  <c r="G49" i="7"/>
  <c r="F49" i="7"/>
  <c r="D49" i="7"/>
  <c r="E49" i="7"/>
  <c r="L41" i="7"/>
  <c r="K41" i="7" s="1"/>
  <c r="K45" i="7" s="1"/>
  <c r="L43" i="7"/>
  <c r="K43" i="7" s="1"/>
  <c r="L42" i="7"/>
  <c r="K42" i="7" s="1"/>
  <c r="AC51" i="7" l="1"/>
  <c r="AC52" i="7"/>
  <c r="AN46" i="7"/>
  <c r="AC50" i="7"/>
  <c r="P52" i="7"/>
  <c r="V52" i="7"/>
  <c r="U52" i="7"/>
  <c r="S52" i="7"/>
  <c r="R52" i="7"/>
  <c r="Q52" i="7"/>
  <c r="T52" i="7"/>
  <c r="P51" i="7"/>
  <c r="U51" i="7"/>
  <c r="Q51" i="7"/>
  <c r="T51" i="7"/>
  <c r="R51" i="7"/>
  <c r="S51" i="7"/>
  <c r="V51" i="7"/>
  <c r="P50" i="7"/>
  <c r="V50" i="7"/>
  <c r="U50" i="7"/>
  <c r="T50" i="7"/>
  <c r="S50" i="7"/>
  <c r="R50" i="7"/>
  <c r="Q50" i="7"/>
  <c r="J42" i="7"/>
  <c r="L51" i="7"/>
  <c r="L52" i="7"/>
  <c r="L50" i="7"/>
  <c r="J41" i="7"/>
  <c r="J43" i="7"/>
  <c r="B51" i="7"/>
  <c r="B52" i="7"/>
  <c r="K46" i="7"/>
  <c r="B50" i="7"/>
  <c r="AD52" i="7" l="1"/>
  <c r="AK52" i="7"/>
  <c r="AJ52" i="7"/>
  <c r="AI52" i="7"/>
  <c r="AH52" i="7"/>
  <c r="AG52" i="7"/>
  <c r="AF52" i="7"/>
  <c r="AE52" i="7"/>
  <c r="AD51" i="7"/>
  <c r="AK51" i="7"/>
  <c r="AJ51" i="7"/>
  <c r="AI51" i="7"/>
  <c r="AH51" i="7"/>
  <c r="AG51" i="7"/>
  <c r="AF51" i="7"/>
  <c r="AE51" i="7"/>
  <c r="AD50" i="7"/>
  <c r="AH50" i="7"/>
  <c r="AF50" i="7"/>
  <c r="AK50" i="7"/>
  <c r="AJ50" i="7"/>
  <c r="AI50" i="7"/>
  <c r="AG50" i="7"/>
  <c r="AE50" i="7"/>
  <c r="Y51" i="7"/>
  <c r="X51" i="7"/>
  <c r="Y50" i="7"/>
  <c r="Y54" i="7" s="1"/>
  <c r="X50" i="7"/>
  <c r="Y52" i="7"/>
  <c r="X52" i="7"/>
  <c r="C52" i="7"/>
  <c r="E52" i="7"/>
  <c r="G52" i="7"/>
  <c r="F52" i="7"/>
  <c r="D52" i="7"/>
  <c r="H52" i="7"/>
  <c r="C51" i="7"/>
  <c r="H51" i="7"/>
  <c r="G51" i="7"/>
  <c r="F51" i="7"/>
  <c r="E51" i="7"/>
  <c r="D51" i="7"/>
  <c r="C50" i="7"/>
  <c r="H50" i="7"/>
  <c r="G50" i="7"/>
  <c r="F50" i="7"/>
  <c r="E50" i="7"/>
  <c r="D50" i="7"/>
  <c r="AN50" i="7" l="1"/>
  <c r="AN54" i="7" s="1"/>
  <c r="AN55" i="7" s="1"/>
  <c r="AM50" i="7"/>
  <c r="AM51" i="7"/>
  <c r="AN51" i="7"/>
  <c r="AN52" i="7"/>
  <c r="AM52" i="7"/>
  <c r="O60" i="7"/>
  <c r="O61" i="7"/>
  <c r="Y55" i="7"/>
  <c r="O59" i="7"/>
  <c r="K51" i="7"/>
  <c r="J51" i="7"/>
  <c r="K52" i="7"/>
  <c r="J52" i="7"/>
  <c r="K50" i="7"/>
  <c r="K54" i="7" s="1"/>
  <c r="J50" i="7"/>
  <c r="P61" i="7" l="1"/>
  <c r="V61" i="7"/>
  <c r="U61" i="7"/>
  <c r="T61" i="7"/>
  <c r="S61" i="7"/>
  <c r="R61" i="7"/>
  <c r="Q61" i="7"/>
  <c r="P60" i="7"/>
  <c r="V60" i="7"/>
  <c r="U60" i="7"/>
  <c r="T60" i="7"/>
  <c r="S60" i="7"/>
  <c r="R60" i="7"/>
  <c r="Q60" i="7"/>
  <c r="P59" i="7"/>
  <c r="U59" i="7"/>
  <c r="V59" i="7"/>
  <c r="T59" i="7"/>
  <c r="S59" i="7"/>
  <c r="R59" i="7"/>
  <c r="Q59" i="7"/>
  <c r="K55" i="7"/>
  <c r="Y61" i="7" l="1"/>
  <c r="X61" i="7"/>
  <c r="X59" i="7"/>
  <c r="Y59" i="7"/>
  <c r="Y63" i="7" s="1"/>
  <c r="Y64" i="7" s="1"/>
  <c r="Y60" i="7"/>
  <c r="X6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Toni T.</author>
  </authors>
  <commentList>
    <comment ref="L1" authorId="0" shapeId="0" xr:uid="{5B34AE85-80F7-4964-8DBD-7DFEC17DC217}">
      <text>
        <r>
          <rPr>
            <b/>
            <sz val="9"/>
            <color indexed="81"/>
            <rFont val="Tahoma"/>
            <family val="2"/>
          </rPr>
          <t>Toni T.:</t>
        </r>
        <r>
          <rPr>
            <sz val="9"/>
            <color indexed="81"/>
            <rFont val="Tahoma"/>
            <family val="2"/>
          </rPr>
          <t xml:space="preserve">
1. Se w terminar &gt;0 após o fim da minimização não existe solução viável para o problema!
2. Se w terminar =0, tres opções:
- As variáveis básicas não possuem variáveis artificiais. A solução pode ser prosseguida normalmente
  - Uma linha terá nas variáveis BÁSICAS as taxas iguais a zero indicando restrição reduntante que pode ser descartada
  -Se existir pelo menos 1 coef. diferente de zero escolher arbitrariamente um pivo naquela linha e forcar mais uma iteração de Guass Jordan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Toni T.</author>
  </authors>
  <commentList>
    <comment ref="B6" authorId="0" shapeId="0" xr:uid="{B3B5ED11-ED98-44FB-8B49-16DF8DBE4450}">
      <text>
        <r>
          <rPr>
            <b/>
            <sz val="9"/>
            <color indexed="81"/>
            <rFont val="Tahoma"/>
            <family val="2"/>
          </rPr>
          <t>Toni T.:</t>
        </r>
        <r>
          <rPr>
            <sz val="9"/>
            <color indexed="81"/>
            <rFont val="Tahoma"/>
            <family val="2"/>
          </rPr>
          <t xml:space="preserve">
Não esqueça de mudar se for retroalimnetar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Toni T.</author>
  </authors>
  <commentList>
    <comment ref="J1" authorId="0" shapeId="0" xr:uid="{5BB90020-FF39-45C4-9182-BAB360B78BA3}">
      <text>
        <r>
          <rPr>
            <b/>
            <sz val="9"/>
            <color indexed="81"/>
            <rFont val="Tahoma"/>
            <family val="2"/>
          </rPr>
          <t>Toni T.:</t>
        </r>
        <r>
          <rPr>
            <sz val="9"/>
            <color indexed="81"/>
            <rFont val="Tahoma"/>
            <family val="2"/>
          </rPr>
          <t xml:space="preserve">
Se todos derem Não zera a solução é ilimitada! O procedimento pode ser interrompido pois não há solução ótima.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Toni T.</author>
  </authors>
  <commentList>
    <comment ref="L1" authorId="0" shapeId="0" xr:uid="{A984F83E-64BC-4485-863B-9644CF25B95B}">
      <text>
        <r>
          <rPr>
            <b/>
            <sz val="9"/>
            <color indexed="81"/>
            <rFont val="Tahoma"/>
            <family val="2"/>
          </rPr>
          <t>Toni T.:</t>
        </r>
        <r>
          <rPr>
            <sz val="9"/>
            <color indexed="81"/>
            <rFont val="Tahoma"/>
            <family val="2"/>
          </rPr>
          <t xml:space="preserve">
Na linha da variável com z negativo deve haver pelo menos 1 valor negativo. Caso não houver, não existe solução viável!
</t>
        </r>
      </text>
    </comment>
    <comment ref="L5" authorId="0" shapeId="0" xr:uid="{2054DDA7-FA6E-491D-B32B-B291FD31D44B}">
      <text>
        <r>
          <rPr>
            <b/>
            <sz val="9"/>
            <color indexed="81"/>
            <rFont val="Tahoma"/>
            <family val="2"/>
          </rPr>
          <t>Toni T.:</t>
        </r>
        <r>
          <rPr>
            <sz val="9"/>
            <color indexed="81"/>
            <rFont val="Tahoma"/>
            <family val="2"/>
          </rPr>
          <t xml:space="preserve">
Existe pelo menos 1 valor na linha da variável que seja negativo?
</t>
        </r>
      </text>
    </comment>
    <comment ref="L15" authorId="0" shapeId="0" xr:uid="{CFDEA768-CB07-4AD7-937F-6F7AC12A2256}">
      <text>
        <r>
          <rPr>
            <b/>
            <sz val="9"/>
            <color indexed="81"/>
            <rFont val="Tahoma"/>
            <family val="2"/>
          </rPr>
          <t>Toni T.:</t>
        </r>
        <r>
          <rPr>
            <sz val="9"/>
            <color indexed="81"/>
            <rFont val="Tahoma"/>
            <family val="2"/>
          </rPr>
          <t xml:space="preserve">
Existe pelo menos 1 valor na linha da variável que seja negativo?
</t>
        </r>
      </text>
    </comment>
  </commentList>
</comments>
</file>

<file path=xl/sharedStrings.xml><?xml version="1.0" encoding="utf-8"?>
<sst xmlns="http://schemas.openxmlformats.org/spreadsheetml/2006/main" count="303" uniqueCount="67">
  <si>
    <t>Otimação pelo Método da Seção Áurea</t>
  </si>
  <si>
    <t>r</t>
  </si>
  <si>
    <t>a</t>
  </si>
  <si>
    <t>b</t>
  </si>
  <si>
    <t>k</t>
  </si>
  <si>
    <t>eps</t>
  </si>
  <si>
    <t>a_k</t>
  </si>
  <si>
    <t>b_k</t>
  </si>
  <si>
    <t>f(a_k)</t>
  </si>
  <si>
    <t>f(b_k)</t>
  </si>
  <si>
    <t>b_k - a_k</t>
  </si>
  <si>
    <t>y_k</t>
  </si>
  <si>
    <t>z_k</t>
  </si>
  <si>
    <t>f(y_k)</t>
  </si>
  <si>
    <t>f(z_k)</t>
  </si>
  <si>
    <t>c_k</t>
  </si>
  <si>
    <t>f(c_k)</t>
  </si>
  <si>
    <t>ALPHA</t>
  </si>
  <si>
    <t>x_1^k</t>
  </si>
  <si>
    <t>x_2^k</t>
  </si>
  <si>
    <t>d_1^k</t>
  </si>
  <si>
    <t>d_2^k</t>
  </si>
  <si>
    <t>||d^k||</t>
  </si>
  <si>
    <t xml:space="preserve"> t</t>
  </si>
  <si>
    <t>f(t)</t>
  </si>
  <si>
    <t>x^k</t>
  </si>
  <si>
    <t>H</t>
  </si>
  <si>
    <t>∇f</t>
  </si>
  <si>
    <t>d</t>
  </si>
  <si>
    <t>x1</t>
  </si>
  <si>
    <t>x2</t>
  </si>
  <si>
    <t>x3</t>
  </si>
  <si>
    <t>x4</t>
  </si>
  <si>
    <t>x5</t>
  </si>
  <si>
    <t>-z0</t>
  </si>
  <si>
    <t>-z</t>
  </si>
  <si>
    <t>Continuar? (Existe taxa negativa?)</t>
  </si>
  <si>
    <t>Quem sairá da Base?</t>
  </si>
  <si>
    <t>Qual o elemento Pivô</t>
  </si>
  <si>
    <t>Primeira Forma Canonica</t>
  </si>
  <si>
    <t>2a Solução Básica</t>
  </si>
  <si>
    <t>3a Solução Básica</t>
  </si>
  <si>
    <t>4a Solução Básica</t>
  </si>
  <si>
    <t>5a Solução Básica</t>
  </si>
  <si>
    <t>6a Solução Básica</t>
  </si>
  <si>
    <t>x6</t>
  </si>
  <si>
    <t>x7</t>
  </si>
  <si>
    <t>Continuar?</t>
  </si>
  <si>
    <t>Existe Solução Viável?</t>
  </si>
  <si>
    <t>Qual o Pivô?</t>
  </si>
  <si>
    <t>Qual a Variável que entrará?</t>
  </si>
  <si>
    <t>-w</t>
  </si>
  <si>
    <t>-z'</t>
  </si>
  <si>
    <t>z0</t>
  </si>
  <si>
    <t>Qual o Elemento Pivô?</t>
  </si>
  <si>
    <t>Qual a Variável Pivô?</t>
  </si>
  <si>
    <t>Digite quem Entrará</t>
  </si>
  <si>
    <t>Digite quem Sairá</t>
  </si>
  <si>
    <t>First</t>
  </si>
  <si>
    <t>Second</t>
  </si>
  <si>
    <t>Third</t>
  </si>
  <si>
    <t>Fourth</t>
  </si>
  <si>
    <t>Fifth</t>
  </si>
  <si>
    <t>Sixth</t>
  </si>
  <si>
    <t>x8</t>
  </si>
  <si>
    <t>Leia o Comentário aqui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</si>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</sst>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"/>
    <numFmt numFmtId="166" formatCode="0.000"/>
    <numFmt numFmtId="167" formatCode="??/??"/>
    <numFmt numFmtId="168" formatCode=";;;"/>
    <numFmt numFmtId="169" formatCode="????/????"/>
  </numFmts>
  <fonts count="10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4" fillId="3" borderId="0" applyNumberFormat="0" applyBorder="0" applyAlignment="0" applyProtection="0"/>
    <xf numFmtId="0" fontId="6" fillId="6" borderId="2" applyNumberFormat="0" applyAlignment="0" applyProtection="0"/>
    <xf numFmtId="0" fontId="7" fillId="7" borderId="0" applyNumberFormat="0" applyBorder="0" applyAlignment="0" applyProtection="0"/>
    <xf numFmtId="0" fontId="6" fillId="0" borderId="2" applyNumberFormat="0" applyAlignment="0">
      <alignment horizontal="center"/>
    </xf>
  </cellStyleXfs>
  <cellXfs count="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3" fillId="0" borderId="0" xfId="0" applyFont="1"/>
    <xf numFmtId="166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6" fontId="1" fillId="0" borderId="0" xfId="0" applyNumberFormat="1" applyFont="1"/>
    <xf numFmtId="164" fontId="1" fillId="0" borderId="0" xfId="0" applyNumberFormat="1" applyFont="1"/>
    <xf numFmtId="0" fontId="3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4" fillId="3" borderId="1" xfId="1" applyBorder="1" applyAlignment="1">
      <alignment horizontal="center"/>
    </xf>
    <xf numFmtId="166" fontId="4" fillId="3" borderId="1" xfId="1" applyNumberFormat="1" applyBorder="1" applyAlignment="1">
      <alignment horizontal="center"/>
    </xf>
    <xf numFmtId="0" fontId="0" fillId="2" borderId="0" xfId="0" applyFill="1"/>
    <xf numFmtId="0" fontId="0" fillId="5" borderId="0" xfId="0" applyFill="1"/>
    <xf numFmtId="0" fontId="5" fillId="0" borderId="0" xfId="0" applyFont="1"/>
    <xf numFmtId="167" fontId="0" fillId="0" borderId="0" xfId="0" applyNumberFormat="1"/>
    <xf numFmtId="168" fontId="0" fillId="0" borderId="0" xfId="0" applyNumberFormat="1"/>
    <xf numFmtId="0" fontId="6" fillId="0" borderId="2" xfId="2" applyFill="1"/>
    <xf numFmtId="49" fontId="6" fillId="0" borderId="2" xfId="2" applyNumberFormat="1" applyFill="1"/>
    <xf numFmtId="167" fontId="6" fillId="0" borderId="2" xfId="2" applyNumberFormat="1" applyFill="1"/>
    <xf numFmtId="0" fontId="7" fillId="7" borderId="0" xfId="3"/>
    <xf numFmtId="0" fontId="6" fillId="0" borderId="2" xfId="2" applyFill="1" applyAlignment="1"/>
    <xf numFmtId="167" fontId="6" fillId="0" borderId="2" xfId="2" applyNumberFormat="1" applyFill="1" applyAlignment="1"/>
    <xf numFmtId="0" fontId="6" fillId="0" borderId="2" xfId="4" applyAlignment="1"/>
    <xf numFmtId="167" fontId="6" fillId="0" borderId="2" xfId="4" applyNumberFormat="1" applyAlignment="1"/>
    <xf numFmtId="0" fontId="0" fillId="0" borderId="0" xfId="0"/>
    <xf numFmtId="167" fontId="0" fillId="0" borderId="0" xfId="0" applyNumberFormat="1"/>
    <xf numFmtId="169" fontId="0" fillId="0" borderId="0" xfId="0" applyNumberFormat="1"/>
    <xf numFmtId="0" fontId="6" fillId="0" borderId="2" xfId="4" applyNumberFormat="1" applyAlignment="1"/>
    <xf numFmtId="169" fontId="6" fillId="0" borderId="2" xfId="4" applyNumberFormat="1" applyAlignment="1"/>
    <xf numFmtId="49" fontId="6" fillId="0" borderId="2" xfId="4" applyNumberFormat="1" applyAlignment="1"/>
    <xf numFmtId="0" fontId="6" fillId="6" borderId="2" xfId="2" applyAlignment="1"/>
    <xf numFmtId="0" fontId="6" fillId="6" borderId="2" xfId="2"/>
    <xf numFmtId="169" fontId="6" fillId="6" borderId="2" xfId="2" applyNumberFormat="1"/>
    <xf numFmtId="0" fontId="0" fillId="8" borderId="0" xfId="0" applyFill="1"/>
    <xf numFmtId="0" fontId="6" fillId="8" borderId="2" xfId="2" applyFill="1"/>
    <xf numFmtId="0" fontId="6" fillId="0" borderId="2" xfId="4" applyAlignment="1">
      <alignment horizontal="center"/>
    </xf>
    <xf numFmtId="0" fontId="6" fillId="0" borderId="2" xfId="2" applyFill="1" applyAlignment="1">
      <alignment horizontal="center"/>
    </xf>
    <xf numFmtId="49" fontId="0" fillId="0" borderId="0" xfId="0" applyNumberFormat="1"/>
  </cellXfs>
  <cellStyles count="5">
    <cellStyle name="60% - Accent3" xfId="1" builtinId="40"/>
    <cellStyle name="Accent6" xfId="3" builtinId="49" customBuiltin="1"/>
    <cellStyle name="Normal" xfId="0" builtinId="0"/>
    <cellStyle name="Output" xfId="2" builtinId="21"/>
    <cellStyle name="Style 1" xfId="4" xr:uid="{30765BF7-7356-4924-AFEA-23CC60816338}"/>
  </cellStyles>
  <dxfs count="252"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numFmt numFmtId="18" formatCode="#\ ??/??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8" formatCode="#\ ??/??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8" formatCode="#\ ??/??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8" formatCode="#\ ??/??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8" formatCode="#\ ??/??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" formatCode="#\ ??/??"/>
    </dxf>
    <dxf>
      <numFmt numFmtId="18" formatCode="#\ ??/??"/>
    </dxf>
    <dxf>
      <numFmt numFmtId="18" formatCode="#\ ??/??"/>
    </dxf>
    <dxf>
      <numFmt numFmtId="18" formatCode="#\ ??/??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1215A-EE74-4010-B7B9-52F3CAC59609}">
  <sheetPr codeName="Sheet1"/>
  <dimension ref="B3:K34"/>
  <sheetViews>
    <sheetView workbookViewId="0">
      <selection activeCell="K9" sqref="K9"/>
    </sheetView>
  </sheetViews>
  <sheetFormatPr defaultRowHeight="15" x14ac:dyDescent="0.25"/>
  <cols>
    <col min="3" max="3" width="10.85546875" bestFit="1" customWidth="1"/>
    <col min="4" max="4" width="10.5703125" bestFit="1" customWidth="1"/>
    <col min="5" max="5" width="10.140625" bestFit="1" customWidth="1"/>
    <col min="6" max="6" width="10.85546875" bestFit="1" customWidth="1"/>
    <col min="7" max="7" width="11.140625" bestFit="1" customWidth="1"/>
    <col min="8" max="8" width="10.7109375" bestFit="1" customWidth="1"/>
    <col min="10" max="10" width="21.42578125" bestFit="1" customWidth="1"/>
    <col min="11" max="11" width="10.5703125" bestFit="1" customWidth="1"/>
  </cols>
  <sheetData>
    <row r="3" spans="2:11" x14ac:dyDescent="0.25">
      <c r="B3" s="32"/>
      <c r="C3" s="32" t="s">
        <v>29</v>
      </c>
      <c r="D3" s="32" t="s">
        <v>30</v>
      </c>
      <c r="E3" s="32" t="s">
        <v>31</v>
      </c>
      <c r="F3" s="32" t="s">
        <v>32</v>
      </c>
      <c r="G3" s="32" t="s">
        <v>33</v>
      </c>
      <c r="H3" s="39" t="s">
        <v>34</v>
      </c>
    </row>
    <row r="4" spans="2:11" x14ac:dyDescent="0.25">
      <c r="B4" s="39" t="s">
        <v>35</v>
      </c>
      <c r="C4" s="38">
        <v>-4</v>
      </c>
      <c r="D4" s="38">
        <v>6</v>
      </c>
      <c r="E4" s="38">
        <v>6</v>
      </c>
      <c r="F4" s="38">
        <v>-4</v>
      </c>
      <c r="G4" s="38">
        <v>4.5</v>
      </c>
      <c r="H4" s="38">
        <v>0</v>
      </c>
    </row>
    <row r="5" spans="2:11" x14ac:dyDescent="0.25">
      <c r="B5" s="32" t="s">
        <v>29</v>
      </c>
      <c r="C5" s="38">
        <v>4</v>
      </c>
      <c r="D5" s="38">
        <v>0.83333333333333337</v>
      </c>
      <c r="E5" s="38">
        <v>3</v>
      </c>
      <c r="F5" s="38">
        <v>2</v>
      </c>
      <c r="G5" s="38">
        <v>4</v>
      </c>
      <c r="H5" s="38">
        <v>29</v>
      </c>
    </row>
    <row r="6" spans="2:11" x14ac:dyDescent="0.25">
      <c r="B6" s="32" t="s">
        <v>31</v>
      </c>
      <c r="C6" s="38">
        <v>-2</v>
      </c>
      <c r="D6" s="38">
        <v>3.8333333333333335</v>
      </c>
      <c r="E6" s="38">
        <v>3</v>
      </c>
      <c r="F6" s="38">
        <v>-2</v>
      </c>
      <c r="G6" s="38">
        <v>4</v>
      </c>
      <c r="H6" s="38">
        <v>11</v>
      </c>
      <c r="K6" s="34"/>
    </row>
    <row r="7" spans="2:11" x14ac:dyDescent="0.25">
      <c r="B7" s="32" t="s">
        <v>32</v>
      </c>
      <c r="C7" s="38">
        <v>-3.5</v>
      </c>
      <c r="D7" s="38">
        <v>7</v>
      </c>
      <c r="E7" s="38">
        <v>6</v>
      </c>
      <c r="F7" s="38">
        <v>-4</v>
      </c>
      <c r="G7" s="38">
        <v>6</v>
      </c>
      <c r="H7" s="38">
        <v>18</v>
      </c>
      <c r="K7" s="34"/>
    </row>
    <row r="9" spans="2:11" x14ac:dyDescent="0.25">
      <c r="J9" t="s">
        <v>55</v>
      </c>
      <c r="K9" s="43" t="str">
        <f>B5</f>
        <v>x1</v>
      </c>
    </row>
    <row r="10" spans="2:11" x14ac:dyDescent="0.25">
      <c r="J10" t="s">
        <v>54</v>
      </c>
      <c r="K10">
        <f>INDEX(C5:G7,MATCH(K9,B5:B7,0),MATCH(K9,C$3:G$3,0))</f>
        <v>4</v>
      </c>
    </row>
    <row r="12" spans="2:11" x14ac:dyDescent="0.25">
      <c r="B12" s="32"/>
      <c r="C12" s="32" t="str">
        <f>C3</f>
        <v>x1</v>
      </c>
      <c r="D12" s="32" t="str">
        <f t="shared" ref="D12:H12" si="0">D3</f>
        <v>x2</v>
      </c>
      <c r="E12" s="32" t="str">
        <f t="shared" si="0"/>
        <v>x3</v>
      </c>
      <c r="F12" s="32" t="str">
        <f t="shared" si="0"/>
        <v>x4</v>
      </c>
      <c r="G12" s="32" t="str">
        <f t="shared" si="0"/>
        <v>x5</v>
      </c>
      <c r="H12" s="32" t="str">
        <f t="shared" si="0"/>
        <v>-z0</v>
      </c>
      <c r="J12" s="34"/>
      <c r="K12" s="34"/>
    </row>
    <row r="13" spans="2:11" x14ac:dyDescent="0.25">
      <c r="B13" s="39" t="str">
        <f>B4</f>
        <v>-z</v>
      </c>
      <c r="C13" s="38">
        <f>IF($B13=$K9,IF(C$3=$K9,C4/C4,C4/$K10),IF(C$3=$K9,0,C4+(-1*INDEX($C4:$H4,0,MATCH($K9,$C$3:$H$3,0)))*INDEX($C5:$H7,MATCH($K9,$B5:$B7,0),MATCH(C$3,$C$3:$H$3,0))/$K10))</f>
        <v>0</v>
      </c>
      <c r="D13" s="38">
        <f t="shared" ref="D13:H13" si="1">IF($B13=$K9,IF(D$3=$K9,D4/D4,D4/$K10),IF(D$3=$K9,0,D4+(-1*INDEX($C4:$H4,0,MATCH($K9,$C$3:$H$3,0)))*INDEX($C5:$H7,MATCH($K9,$B5:$B7,0),MATCH(D$3,$C$3:$H$3,0))/$K10))</f>
        <v>6.833333333333333</v>
      </c>
      <c r="E13" s="38">
        <f t="shared" si="1"/>
        <v>9</v>
      </c>
      <c r="F13" s="38">
        <f t="shared" si="1"/>
        <v>-2</v>
      </c>
      <c r="G13" s="38">
        <f t="shared" si="1"/>
        <v>8.5</v>
      </c>
      <c r="H13" s="38">
        <f t="shared" si="1"/>
        <v>29</v>
      </c>
      <c r="J13" s="34"/>
      <c r="K13" s="34"/>
    </row>
    <row r="14" spans="2:11" x14ac:dyDescent="0.25">
      <c r="B14" s="39" t="str">
        <f t="shared" ref="B14:B16" si="2">B5</f>
        <v>x1</v>
      </c>
      <c r="C14" s="38">
        <f>IF($B14=$K9,IF(C$3=$K9,C5/C5,C5/$K10),IF(C$3=$K9,0,C5+(-1*INDEX($C5:$H5,0,MATCH($K9,$C$3:$H$3,0)))*INDEX($C5:$H7,MATCH($K9,$B5:$B7,0),MATCH(C$3,$C$3:$H$3,0))/$K10))</f>
        <v>1</v>
      </c>
      <c r="D14" s="38">
        <f t="shared" ref="D14:H14" si="3">IF($B14=$K9,IF(D$3=$K9,D5/D5,D5/$K10),IF(D$3=$K9,0,D5+(-1*INDEX($C5:$H5,0,MATCH($K9,$C$3:$H$3,0)))*INDEX($C5:$H7,MATCH($K9,$B5:$B7,0),MATCH(D$3,$C$3:$H$3,0))/$K10))</f>
        <v>0.20833333333333334</v>
      </c>
      <c r="E14" s="38">
        <f t="shared" si="3"/>
        <v>0.75</v>
      </c>
      <c r="F14" s="38">
        <f t="shared" si="3"/>
        <v>0.5</v>
      </c>
      <c r="G14" s="38">
        <f t="shared" si="3"/>
        <v>1</v>
      </c>
      <c r="H14" s="38">
        <f t="shared" si="3"/>
        <v>7.25</v>
      </c>
      <c r="K14" s="34"/>
    </row>
    <row r="15" spans="2:11" x14ac:dyDescent="0.25">
      <c r="B15" s="39" t="str">
        <f t="shared" si="2"/>
        <v>x3</v>
      </c>
      <c r="C15" s="38">
        <f>IF($B15=$K9,IF(C$3=$K9,C6/C6,C6/$K10),IF(C$3=$K9,0,C6+(-1*INDEX($C6:$H6,0,MATCH($K9,$C$3:$H$3,0)))*INDEX($C5:$H7,MATCH($K9,$B5:$B7,0),MATCH(C$3,$C$3:$H$3,0))/$K10))</f>
        <v>0</v>
      </c>
      <c r="D15" s="38">
        <f t="shared" ref="D15:H15" si="4">IF($B15=$K9,IF(D$3=$K9,D6/D6,D6/$K10),IF(D$3=$K9,0,D6+(-1*INDEX($C6:$H6,0,MATCH($K9,$C$3:$H$3,0)))*INDEX($C5:$H7,MATCH($K9,$B5:$B7,0),MATCH(D$3,$C$3:$H$3,0))/$K10))</f>
        <v>4.25</v>
      </c>
      <c r="E15" s="38">
        <f t="shared" si="4"/>
        <v>4.5</v>
      </c>
      <c r="F15" s="38">
        <f t="shared" si="4"/>
        <v>-1</v>
      </c>
      <c r="G15" s="38">
        <f t="shared" si="4"/>
        <v>6</v>
      </c>
      <c r="H15" s="38">
        <f t="shared" si="4"/>
        <v>25.5</v>
      </c>
      <c r="K15" s="34"/>
    </row>
    <row r="16" spans="2:11" x14ac:dyDescent="0.25">
      <c r="B16" s="39" t="str">
        <f t="shared" si="2"/>
        <v>x4</v>
      </c>
      <c r="C16" s="38">
        <f>IF($B16=$K9,IF(C$3=$K9,C7/C7,C7/$K10),IF(C$3=$K9,0,C7+(-1*INDEX($C7:$H7,0,MATCH($K9,$C$3:$H$3,0)))*INDEX($C5:$H7,MATCH($K9,$B5:$B7,0),MATCH(C$3,$C$3:$H$3,0))/$K10))</f>
        <v>0</v>
      </c>
      <c r="D16" s="38">
        <f t="shared" ref="D16:H16" si="5">IF($B16=$K9,IF(D$3=$K9,D7/D7,D7/$K10),IF(D$3=$K9,0,D7+(-1*INDEX($C7:$H7,0,MATCH($K9,$C$3:$H$3,0)))*INDEX($C5:$H7,MATCH($K9,$B5:$B7,0),MATCH(D$3,$C$3:$H$3,0))/$K10))</f>
        <v>7.729166666666667</v>
      </c>
      <c r="E16" s="38">
        <f t="shared" si="5"/>
        <v>8.625</v>
      </c>
      <c r="F16" s="38">
        <f t="shared" si="5"/>
        <v>-2.25</v>
      </c>
      <c r="G16" s="38">
        <f t="shared" si="5"/>
        <v>9.5</v>
      </c>
      <c r="H16" s="38">
        <f t="shared" si="5"/>
        <v>43.375</v>
      </c>
      <c r="K16" s="34"/>
    </row>
    <row r="18" spans="2:11" x14ac:dyDescent="0.25">
      <c r="J18" s="34" t="s">
        <v>55</v>
      </c>
      <c r="K18" s="43" t="str">
        <f>B6</f>
        <v>x3</v>
      </c>
    </row>
    <row r="19" spans="2:11" x14ac:dyDescent="0.25">
      <c r="J19" s="34" t="s">
        <v>54</v>
      </c>
      <c r="K19" s="36">
        <f>INDEX(C14:G16,MATCH(K18,B14:B16,0),MATCH(K18,C$3:G$3,0))</f>
        <v>4.5</v>
      </c>
    </row>
    <row r="21" spans="2:11" x14ac:dyDescent="0.25">
      <c r="B21" s="32"/>
      <c r="C21" s="32" t="str">
        <f>C12</f>
        <v>x1</v>
      </c>
      <c r="D21" s="32" t="str">
        <f t="shared" ref="D21:H21" si="6">D12</f>
        <v>x2</v>
      </c>
      <c r="E21" s="32" t="str">
        <f t="shared" si="6"/>
        <v>x3</v>
      </c>
      <c r="F21" s="32" t="str">
        <f t="shared" si="6"/>
        <v>x4</v>
      </c>
      <c r="G21" s="32" t="str">
        <f t="shared" si="6"/>
        <v>x5</v>
      </c>
      <c r="H21" s="32" t="str">
        <f t="shared" si="6"/>
        <v>-z0</v>
      </c>
    </row>
    <row r="22" spans="2:11" x14ac:dyDescent="0.25">
      <c r="B22" s="39" t="str">
        <f>B13</f>
        <v>-z</v>
      </c>
      <c r="C22" s="38">
        <f>IF($B22=$K18,IF(C$3=$K18,C13/C13,C13/$K19),IF(C$3=$K18,0,C13+(-1*INDEX($C13:$H13,0,MATCH($K18,$C$3:$H$3,0)))*INDEX($C14:$H16,MATCH($K18,$B14:$B16,0),MATCH(C$3,$C$3:$H$3,0))/$K19))</f>
        <v>0</v>
      </c>
      <c r="D22" s="38">
        <f t="shared" ref="D22:H22" si="7">IF($B22=$K18,IF(D$3=$K18,D13/D13,D13/$K19),IF(D$3=$K18,0,D13+(-1*INDEX($C13:$H13,0,MATCH($K18,$C$3:$H$3,0)))*INDEX($C14:$H16,MATCH($K18,$B14:$B16,0),MATCH(D$3,$C$3:$H$3,0))/$K19))</f>
        <v>-1.666666666666667</v>
      </c>
      <c r="E22" s="38">
        <f t="shared" si="7"/>
        <v>0</v>
      </c>
      <c r="F22" s="38">
        <f t="shared" si="7"/>
        <v>0</v>
      </c>
      <c r="G22" s="38">
        <f t="shared" si="7"/>
        <v>-3.5</v>
      </c>
      <c r="H22" s="38">
        <f t="shared" si="7"/>
        <v>-22</v>
      </c>
    </row>
    <row r="23" spans="2:11" x14ac:dyDescent="0.25">
      <c r="B23" s="39" t="str">
        <f t="shared" ref="B23:B25" si="8">B14</f>
        <v>x1</v>
      </c>
      <c r="C23" s="38">
        <f>IF($B23=$K18,IF(C$3=$K18,C14/C14,C14/$K19),IF(C$3=$K18,0,C14+(-1*INDEX($C14:$H14,0,MATCH($K18,$C$3:$H$3,0)))*INDEX($C14:$H16,MATCH($K18,$B14:$B16,0),MATCH(C$3,$C$3:$H$3,0))/$K19))</f>
        <v>1</v>
      </c>
      <c r="D23" s="38">
        <f t="shared" ref="D23:H23" si="9">IF($B23=$K18,IF(D$3=$K18,D14/D14,D14/$K19),IF(D$3=$K18,0,D14+(-1*INDEX($C14:$H14,0,MATCH($K18,$C$3:$H$3,0)))*INDEX($C14:$H16,MATCH($K18,$B14:$B16,0),MATCH(D$3,$C$3:$H$3,0))/$K19))</f>
        <v>-0.5</v>
      </c>
      <c r="E23" s="38">
        <f t="shared" si="9"/>
        <v>0</v>
      </c>
      <c r="F23" s="38">
        <f t="shared" si="9"/>
        <v>0.66666666666666663</v>
      </c>
      <c r="G23" s="38">
        <f t="shared" si="9"/>
        <v>0</v>
      </c>
      <c r="H23" s="38">
        <f t="shared" si="9"/>
        <v>3</v>
      </c>
    </row>
    <row r="24" spans="2:11" x14ac:dyDescent="0.25">
      <c r="B24" s="39" t="str">
        <f t="shared" si="8"/>
        <v>x3</v>
      </c>
      <c r="C24" s="38">
        <f>IF($B24=$K18,IF(C$3=$K18,C15/C15,C15/$K19),IF(C$3=$K18,0,C15+(-1*INDEX($C15:$H15,0,MATCH($K18,$C$3:$H$3,0)))*INDEX($C14:$H16,MATCH($K18,$B14:$B16,0),MATCH(C$3,$C$3:$H$3,0))/$K19))</f>
        <v>0</v>
      </c>
      <c r="D24" s="38">
        <f t="shared" ref="D24:H24" si="10">IF($B24=$K18,IF(D$3=$K18,D15/D15,D15/$K19),IF(D$3=$K18,0,D15+(-1*INDEX($C15:$H15,0,MATCH($K18,$C$3:$H$3,0)))*INDEX($C14:$H16,MATCH($K18,$B14:$B16,0),MATCH(D$3,$C$3:$H$3,0))/$K19))</f>
        <v>0.94444444444444442</v>
      </c>
      <c r="E24" s="38">
        <f t="shared" si="10"/>
        <v>1</v>
      </c>
      <c r="F24" s="38">
        <f t="shared" si="10"/>
        <v>-0.22222222222222221</v>
      </c>
      <c r="G24" s="38">
        <f t="shared" si="10"/>
        <v>1.3333333333333333</v>
      </c>
      <c r="H24" s="38">
        <f t="shared" si="10"/>
        <v>5.666666666666667</v>
      </c>
    </row>
    <row r="25" spans="2:11" x14ac:dyDescent="0.25">
      <c r="B25" s="39" t="str">
        <f t="shared" si="8"/>
        <v>x4</v>
      </c>
      <c r="C25" s="38">
        <f>IF($B25=$K18,IF(C$3=$K18,C16/C16,C16/$K19),IF(C$3=$K18,0,C16+(-1*INDEX($C16:$H16,0,MATCH($K18,$C$3:$H$3,0)))*INDEX($C14:$H16,MATCH($K18,$B14:$B16,0),MATCH(C$3,$C$3:$H$3,0))/$K19))</f>
        <v>0</v>
      </c>
      <c r="D25" s="38">
        <f t="shared" ref="D25:H25" si="11">IF($B25=$K18,IF(D$3=$K18,D16/D16,D16/$K19),IF(D$3=$K18,0,D16+(-1*INDEX($C16:$H16,0,MATCH($K18,$C$3:$H$3,0)))*INDEX($C14:$H16,MATCH($K18,$B14:$B16,0),MATCH(D$3,$C$3:$H$3,0))/$K19))</f>
        <v>-0.41666666666666696</v>
      </c>
      <c r="E25" s="38">
        <f t="shared" si="11"/>
        <v>0</v>
      </c>
      <c r="F25" s="38">
        <f t="shared" si="11"/>
        <v>-0.33333333333333326</v>
      </c>
      <c r="G25" s="38">
        <f t="shared" si="11"/>
        <v>-2</v>
      </c>
      <c r="H25" s="38">
        <f t="shared" si="11"/>
        <v>-5.5</v>
      </c>
    </row>
    <row r="27" spans="2:11" x14ac:dyDescent="0.25">
      <c r="J27" s="34" t="s">
        <v>55</v>
      </c>
      <c r="K27" s="43" t="str">
        <f>B7</f>
        <v>x4</v>
      </c>
    </row>
    <row r="28" spans="2:11" x14ac:dyDescent="0.25">
      <c r="J28" s="34" t="s">
        <v>54</v>
      </c>
      <c r="K28" s="36">
        <f>INDEX(C23:G25,MATCH(K27,B23:B25,0),MATCH(K27,C$3:G$3,0))</f>
        <v>-0.33333333333333326</v>
      </c>
    </row>
    <row r="30" spans="2:11" x14ac:dyDescent="0.25">
      <c r="B30" s="32"/>
      <c r="C30" s="32" t="str">
        <f>C21</f>
        <v>x1</v>
      </c>
      <c r="D30" s="32" t="str">
        <f t="shared" ref="D30:H30" si="12">D21</f>
        <v>x2</v>
      </c>
      <c r="E30" s="32" t="str">
        <f t="shared" si="12"/>
        <v>x3</v>
      </c>
      <c r="F30" s="32" t="str">
        <f t="shared" si="12"/>
        <v>x4</v>
      </c>
      <c r="G30" s="32" t="str">
        <f t="shared" si="12"/>
        <v>x5</v>
      </c>
      <c r="H30" s="32" t="str">
        <f t="shared" si="12"/>
        <v>-z0</v>
      </c>
    </row>
    <row r="31" spans="2:11" x14ac:dyDescent="0.25">
      <c r="B31" s="39" t="str">
        <f>B22</f>
        <v>-z</v>
      </c>
      <c r="C31" s="38">
        <f>IF($B31=$K27,IF(C$3=$K27,C22/C22,C22/$K28),IF(C$3=$K27,0,C22+(-1*INDEX($C22:$H22,0,MATCH($K27,$C$3:$H$3,0)))*INDEX($C23:$H25,MATCH($K27,$B23:$B25,0),MATCH(C$3,$C$3:$H$3,0))/$K28))</f>
        <v>0</v>
      </c>
      <c r="D31" s="38">
        <f t="shared" ref="D31:H31" si="13">IF($B31=$K27,IF(D$3=$K27,D22/D22,D22/$K28),IF(D$3=$K27,0,D22+(-1*INDEX($C22:$H22,0,MATCH($K27,$C$3:$H$3,0)))*INDEX($C23:$H25,MATCH($K27,$B23:$B25,0),MATCH(D$3,$C$3:$H$3,0))/$K28))</f>
        <v>-1.666666666666667</v>
      </c>
      <c r="E31" s="38">
        <f t="shared" si="13"/>
        <v>0</v>
      </c>
      <c r="F31" s="38">
        <f t="shared" si="13"/>
        <v>0</v>
      </c>
      <c r="G31" s="38">
        <f t="shared" si="13"/>
        <v>-3.5</v>
      </c>
      <c r="H31" s="38">
        <f t="shared" si="13"/>
        <v>-22</v>
      </c>
    </row>
    <row r="32" spans="2:11" x14ac:dyDescent="0.25">
      <c r="B32" s="39" t="str">
        <f t="shared" ref="B32:B34" si="14">B23</f>
        <v>x1</v>
      </c>
      <c r="C32" s="38">
        <f>IF($B32=$K27,IF(C$3=$K27,C23/C23,C23/$K28),IF(C$3=$K27,0,C23+(-1*INDEX($C23:$H23,0,MATCH($K27,$C$3:$H$3,0)))*INDEX($C23:$H25,MATCH($K27,$B23:$B25,0),MATCH(C$3,$C$3:$H$3,0))/$K28))</f>
        <v>1</v>
      </c>
      <c r="D32" s="38">
        <f t="shared" ref="D32:H32" si="15">IF($B32=$K27,IF(D$3=$K27,D23/D23,D23/$K28),IF(D$3=$K27,0,D23+(-1*INDEX($C23:$H23,0,MATCH($K27,$C$3:$H$3,0)))*INDEX($C23:$H25,MATCH($K27,$B23:$B25,0),MATCH(D$3,$C$3:$H$3,0))/$K28))</f>
        <v>-1.3333333333333339</v>
      </c>
      <c r="E32" s="38">
        <f t="shared" si="15"/>
        <v>0</v>
      </c>
      <c r="F32" s="38">
        <f t="shared" si="15"/>
        <v>0</v>
      </c>
      <c r="G32" s="38">
        <f t="shared" si="15"/>
        <v>-4.0000000000000009</v>
      </c>
      <c r="H32" s="38">
        <f t="shared" si="15"/>
        <v>-8.0000000000000018</v>
      </c>
    </row>
    <row r="33" spans="2:8" x14ac:dyDescent="0.25">
      <c r="B33" s="39" t="str">
        <f t="shared" si="14"/>
        <v>x3</v>
      </c>
      <c r="C33" s="38">
        <f>IF($B33=$K27,IF(C$3=$K27,C24/C24,C24/$K28),IF(C$3=$K27,0,C24+(-1*INDEX($C24:$H24,0,MATCH($K27,$C$3:$H$3,0)))*INDEX($C23:$H25,MATCH($K27,$B23:$B25,0),MATCH(C$3,$C$3:$H$3,0))/$K28))</f>
        <v>0</v>
      </c>
      <c r="D33" s="38">
        <f t="shared" ref="D33:H33" si="16">IF($B33=$K27,IF(D$3=$K27,D24/D24,D24/$K28),IF(D$3=$K27,0,D24+(-1*INDEX($C24:$H24,0,MATCH($K27,$C$3:$H$3,0)))*INDEX($C23:$H25,MATCH($K27,$B23:$B25,0),MATCH(D$3,$C$3:$H$3,0))/$K28))</f>
        <v>1.2222222222222223</v>
      </c>
      <c r="E33" s="38">
        <f t="shared" si="16"/>
        <v>1</v>
      </c>
      <c r="F33" s="38">
        <f t="shared" si="16"/>
        <v>0</v>
      </c>
      <c r="G33" s="38">
        <f t="shared" si="16"/>
        <v>2.666666666666667</v>
      </c>
      <c r="H33" s="38">
        <f t="shared" si="16"/>
        <v>9.3333333333333339</v>
      </c>
    </row>
    <row r="34" spans="2:8" x14ac:dyDescent="0.25">
      <c r="B34" s="39" t="str">
        <f t="shared" si="14"/>
        <v>x4</v>
      </c>
      <c r="C34" s="38">
        <f>IF($B34=$K27,IF(C$3=$K27,C25/C25,C25/$K28),IF(C$3=$K27,0,C25+(-1*INDEX($C25:$H25,0,MATCH($K27,$C$3:$H$3,0)))*INDEX($C23:$H25,MATCH($K27,$B23:$B25,0),MATCH(C$3,$C$3:$H$3,0))/$K28))</f>
        <v>0</v>
      </c>
      <c r="D34" s="38">
        <f t="shared" ref="D34:H34" si="17">IF($B34=$K27,IF(D$3=$K27,D25/D25,D25/$K28),IF(D$3=$K27,0,D25+(-1*INDEX($C25:$H25,0,MATCH($K27,$C$3:$H$3,0)))*INDEX($C23:$H25,MATCH($K27,$B23:$B25,0),MATCH(D$3,$C$3:$H$3,0))/$K28))</f>
        <v>1.2500000000000011</v>
      </c>
      <c r="E34" s="38">
        <f t="shared" si="17"/>
        <v>0</v>
      </c>
      <c r="F34" s="38">
        <f t="shared" si="17"/>
        <v>1</v>
      </c>
      <c r="G34" s="38">
        <f t="shared" si="17"/>
        <v>6.0000000000000018</v>
      </c>
      <c r="H34" s="38">
        <f t="shared" si="17"/>
        <v>16.500000000000004</v>
      </c>
    </row>
  </sheetData>
  <conditionalFormatting sqref="C4:H7 C13:H16 C22:H25 C31:H34">
    <cfRule type="expression" dxfId="251" priority="1">
      <formula>MOD(C4,1)=0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408D-F1A5-4EE4-90FC-56B5807F0E9C}">
  <sheetPr codeName="Sheet7"/>
  <dimension ref="B1:AC31"/>
  <sheetViews>
    <sheetView tabSelected="1" topLeftCell="L1" zoomScale="85" zoomScaleNormal="85" workbookViewId="0">
      <selection activeCell="R25" sqref="R25:Y27"/>
    </sheetView>
  </sheetViews>
  <sheetFormatPr defaultRowHeight="15" x14ac:dyDescent="0.25"/>
  <cols>
    <col min="3" max="4" width="10.85546875" bestFit="1" customWidth="1"/>
    <col min="5" max="5" width="10.140625" bestFit="1" customWidth="1"/>
    <col min="6" max="6" width="10.5703125" bestFit="1" customWidth="1"/>
    <col min="7" max="7" width="10.140625" bestFit="1" customWidth="1"/>
    <col min="8" max="8" width="12.140625" bestFit="1" customWidth="1"/>
    <col min="9" max="10" width="10.85546875" bestFit="1" customWidth="1"/>
    <col min="12" max="12" width="31.7109375" bestFit="1" customWidth="1"/>
    <col min="15" max="15" width="9.140625" style="29"/>
    <col min="18" max="19" width="10.85546875" bestFit="1" customWidth="1"/>
    <col min="20" max="20" width="10" bestFit="1" customWidth="1"/>
    <col min="21" max="23" width="10.85546875" bestFit="1" customWidth="1"/>
    <col min="24" max="24" width="10.7109375" bestFit="1" customWidth="1"/>
    <col min="25" max="25" width="10.85546875" bestFit="1" customWidth="1"/>
  </cols>
  <sheetData>
    <row r="1" spans="2:29" x14ac:dyDescent="0.25">
      <c r="L1" s="43" t="s">
        <v>66</v>
      </c>
    </row>
    <row r="3" spans="2:29" x14ac:dyDescent="0.25">
      <c r="B3" s="32"/>
      <c r="C3" s="32" t="s">
        <v>29</v>
      </c>
      <c r="D3" s="32" t="s">
        <v>30</v>
      </c>
      <c r="E3" s="32" t="s">
        <v>31</v>
      </c>
      <c r="F3" s="32" t="s">
        <v>32</v>
      </c>
      <c r="G3" s="32" t="s">
        <v>33</v>
      </c>
      <c r="H3" s="32" t="s">
        <v>45</v>
      </c>
      <c r="I3" s="32" t="s">
        <v>46</v>
      </c>
      <c r="J3" s="39" t="s">
        <v>53</v>
      </c>
      <c r="K3" s="34"/>
      <c r="L3" s="34"/>
      <c r="M3" s="34"/>
      <c r="N3" s="34"/>
      <c r="Q3" s="32"/>
      <c r="R3" s="32" t="s">
        <v>29</v>
      </c>
      <c r="S3" s="32" t="s">
        <v>30</v>
      </c>
      <c r="T3" s="32" t="s">
        <v>31</v>
      </c>
      <c r="U3" s="32" t="s">
        <v>32</v>
      </c>
      <c r="V3" s="32" t="s">
        <v>33</v>
      </c>
      <c r="W3" s="32" t="s">
        <v>45</v>
      </c>
      <c r="X3" s="32" t="s">
        <v>46</v>
      </c>
      <c r="Y3" s="39" t="s">
        <v>53</v>
      </c>
    </row>
    <row r="4" spans="2:29" x14ac:dyDescent="0.25">
      <c r="B4" s="39" t="s">
        <v>51</v>
      </c>
      <c r="C4" s="32">
        <v>1</v>
      </c>
      <c r="D4" s="32">
        <v>-1</v>
      </c>
      <c r="E4" s="32">
        <v>-4</v>
      </c>
      <c r="F4" s="32">
        <v>0</v>
      </c>
      <c r="G4" s="32">
        <v>0</v>
      </c>
      <c r="H4" s="32">
        <v>1</v>
      </c>
      <c r="I4" s="32">
        <v>0</v>
      </c>
      <c r="J4" s="32">
        <v>-13</v>
      </c>
      <c r="K4" s="34"/>
      <c r="L4" s="34" t="s">
        <v>36</v>
      </c>
      <c r="M4" s="34" t="str">
        <f t="array" ref="M4">IF(MIN(IF(C4:I4&gt;=0,1,-1))=1,"Não","Sim")</f>
        <v>Sim</v>
      </c>
      <c r="N4" s="34" t="str">
        <f>IF(M4="Sim",INDEX(C3:I3,0,MATCH(MIN(C4:I4),C4:I4,0))," ")</f>
        <v>x3</v>
      </c>
      <c r="Q4" s="39" t="s">
        <v>51</v>
      </c>
      <c r="R4" s="32">
        <v>-6</v>
      </c>
      <c r="S4" s="32">
        <v>5</v>
      </c>
      <c r="T4" s="32">
        <v>-18</v>
      </c>
      <c r="U4" s="32">
        <v>3</v>
      </c>
      <c r="V4" s="32">
        <v>-2</v>
      </c>
      <c r="W4" s="32">
        <v>0</v>
      </c>
      <c r="X4" s="32">
        <v>0</v>
      </c>
      <c r="Y4" s="32">
        <v>-28</v>
      </c>
      <c r="AA4" s="34" t="s">
        <v>36</v>
      </c>
      <c r="AB4" s="34" t="str">
        <f t="array" ref="AB4">IF(MIN(IF(R4:X4&gt;=0,1,-1))=1,"Não","Sim")</f>
        <v>Sim</v>
      </c>
      <c r="AC4" s="34" t="str">
        <f>IF(AB4="Sim",INDEX(R3:X3,0,MATCH(MIN(R4:X4),R4:X4,0))," ")</f>
        <v>x3</v>
      </c>
    </row>
    <row r="5" spans="2:29" x14ac:dyDescent="0.25">
      <c r="B5" s="39" t="s">
        <v>52</v>
      </c>
      <c r="C5" s="32">
        <v>-4</v>
      </c>
      <c r="D5" s="32">
        <v>-1</v>
      </c>
      <c r="E5" s="32">
        <v>7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4"/>
      <c r="L5" s="34"/>
      <c r="M5" s="34"/>
      <c r="N5" s="34"/>
      <c r="Q5" s="39" t="s">
        <v>52</v>
      </c>
      <c r="R5" s="32">
        <v>1</v>
      </c>
      <c r="S5" s="32">
        <v>6</v>
      </c>
      <c r="T5" s="32">
        <v>-7</v>
      </c>
      <c r="U5" s="32">
        <v>1</v>
      </c>
      <c r="V5" s="32">
        <v>5</v>
      </c>
      <c r="W5" s="32">
        <v>0</v>
      </c>
      <c r="X5" s="32">
        <v>0</v>
      </c>
      <c r="Y5" s="32">
        <v>0</v>
      </c>
    </row>
    <row r="6" spans="2:29" x14ac:dyDescent="0.25">
      <c r="B6" s="40" t="s">
        <v>32</v>
      </c>
      <c r="C6" s="40">
        <v>2</v>
      </c>
      <c r="D6" s="40">
        <v>-3</v>
      </c>
      <c r="E6" s="40">
        <v>1</v>
      </c>
      <c r="F6" s="40">
        <v>1</v>
      </c>
      <c r="G6" s="40">
        <v>0</v>
      </c>
      <c r="H6" s="40">
        <v>0</v>
      </c>
      <c r="I6" s="40">
        <v>0</v>
      </c>
      <c r="J6" s="40">
        <v>8</v>
      </c>
      <c r="K6" s="34"/>
      <c r="L6" s="34" t="str">
        <f>_xlfn.CONCAT(N6," = ",IF(INT(J6)=J6,J6,TEXT(J6,"??/??"))," ÷ ",IF(INT(INDEX(C6:I6,0,MATCH(N6,R$3:X$3,0)))=INDEX(C6:I6,0,MATCH(N6,R$3:X$3,0)),INDEX(C6:I6,0,MATCH(N6,R$3:X$3,0)),TEXT(INDEX(C6:I6,0,MATCH(N6,R$3:X$3,0)),"??/??"))," = ")</f>
        <v xml:space="preserve">x3 = 8 ÷ 1 = </v>
      </c>
      <c r="M6" s="35">
        <f>IF(J6/INDEX(C6:I6,0,MATCH(N6,R$3:X$3,0))&lt;0,"Nao zera",J6/INDEX(C6:I6,0,MATCH(N6,R$3:X$3,0)))</f>
        <v>8</v>
      </c>
      <c r="N6" s="25" t="str">
        <f>N4</f>
        <v>x3</v>
      </c>
      <c r="Q6" s="40" t="s">
        <v>45</v>
      </c>
      <c r="R6" s="40">
        <v>5</v>
      </c>
      <c r="S6" s="40">
        <v>-4</v>
      </c>
      <c r="T6" s="40">
        <v>13</v>
      </c>
      <c r="U6" s="40">
        <v>-2</v>
      </c>
      <c r="V6" s="40">
        <v>1</v>
      </c>
      <c r="W6" s="40">
        <v>1</v>
      </c>
      <c r="X6" s="40">
        <v>0</v>
      </c>
      <c r="Y6" s="40">
        <v>20</v>
      </c>
      <c r="AA6" s="34" t="str">
        <f>_xlfn.CONCAT(AC6," = ",IF(INT(Y6)=Y6,Y6,TEXT(Y6,"??/??"))," ÷ ",IF(INT(INDEX(R6:X6,0,MATCH(AC6,R$3:X$3,0)))=INDEX(R6:X6,0,MATCH(AC6,R$3:X$3,0)),INDEX(R6:X6,0,MATCH(AC6,R$3:X$3,0)),TEXT(INDEX(R6:X6,0,MATCH(AC6,R$3:X$3,0)),"??/??"))," = ")</f>
        <v xml:space="preserve">x3 = 20 ÷ 13 = </v>
      </c>
      <c r="AB6" s="35">
        <f>IF(Y6/INDEX(R6:X6,0,MATCH(AC6,R$3:X$3,0))&lt;0,"Nao zera",Y6/INDEX(R6:X6,0,MATCH(AC6,R$3:X$3,0)))</f>
        <v>1.5384615384615385</v>
      </c>
      <c r="AC6" s="25" t="str">
        <f>AC4</f>
        <v>x3</v>
      </c>
    </row>
    <row r="7" spans="2:29" x14ac:dyDescent="0.25">
      <c r="B7" s="40" t="s">
        <v>33</v>
      </c>
      <c r="C7" s="40">
        <v>1</v>
      </c>
      <c r="D7" s="40">
        <v>1</v>
      </c>
      <c r="E7" s="40">
        <v>-2</v>
      </c>
      <c r="F7" s="40">
        <v>0</v>
      </c>
      <c r="G7" s="40">
        <v>1</v>
      </c>
      <c r="H7" s="40">
        <v>0</v>
      </c>
      <c r="I7" s="40">
        <v>0</v>
      </c>
      <c r="J7" s="40">
        <v>9</v>
      </c>
      <c r="K7" s="34"/>
      <c r="L7" s="34" t="str">
        <f>_xlfn.CONCAT(N7," = ",IF(INT(J7)=J7,J7,TEXT(J7,"??/??"))," ÷ ",IF(INT(INDEX(C7:I7,0,MATCH(N7,R$3:X$3,0)))=INDEX(C7:I7,0,MATCH(N7,R$3:X$3,0)),INDEX(C7:I7,0,MATCH(N7,R$3:X$3,0)),TEXT(INDEX(C7:I7,0,MATCH(N7,R$3:X$3,0)),"??/??"))," = ")</f>
        <v xml:space="preserve">x3 = 9 ÷ -2 = </v>
      </c>
      <c r="M7" s="35" t="str">
        <f>IF(J7/INDEX(C7:I7,0,MATCH(N7,R$3:X$3,0))&lt;0,"Nao zera",J7/INDEX(C7:I7,0,MATCH(N7,R$3:X$3,0)))</f>
        <v>Nao zera</v>
      </c>
      <c r="N7" s="25" t="str">
        <f>N4</f>
        <v>x3</v>
      </c>
      <c r="Q7" s="40" t="s">
        <v>46</v>
      </c>
      <c r="R7" s="40">
        <v>1</v>
      </c>
      <c r="S7" s="40">
        <v>-1</v>
      </c>
      <c r="T7" s="40">
        <v>5</v>
      </c>
      <c r="U7" s="40">
        <v>-1</v>
      </c>
      <c r="V7" s="40">
        <v>1</v>
      </c>
      <c r="W7" s="40">
        <v>0</v>
      </c>
      <c r="X7" s="40">
        <v>1</v>
      </c>
      <c r="Y7" s="40">
        <v>8</v>
      </c>
      <c r="AA7" s="34" t="str">
        <f>_xlfn.CONCAT(AC7," = ",IF(INT(Y7)=Y7,Y7,TEXT(Y7,"??/??"))," ÷ ",IF(INT(INDEX(R7:X7,0,MATCH(AC7,R$3:X$3,0)))=INDEX(R7:X7,0,MATCH(AC7,R$3:X$3,0)),INDEX(R7:X7,0,MATCH(AC7,R$3:X$3,0)),TEXT(INDEX(R7:X7,0,MATCH(AC7,R$3:X$3,0)),"??/??"))," = ")</f>
        <v xml:space="preserve">x3 = 8 ÷ 5 = </v>
      </c>
      <c r="AB7" s="35">
        <f>IF(Y7/INDEX(R7:X7,0,MATCH(AC7,R$3:X$3,0))&lt;0,"Nao zera",Y7/INDEX(R7:X7,0,MATCH(AC7,R$3:X$3,0)))</f>
        <v>1.6</v>
      </c>
      <c r="AC7" s="25" t="str">
        <f>AC4</f>
        <v>x3</v>
      </c>
    </row>
    <row r="8" spans="2:29" x14ac:dyDescent="0.25">
      <c r="B8" s="40" t="s">
        <v>46</v>
      </c>
      <c r="C8" s="40">
        <v>-3</v>
      </c>
      <c r="D8" s="40">
        <v>4</v>
      </c>
      <c r="E8" s="40">
        <v>3</v>
      </c>
      <c r="F8" s="40">
        <v>0</v>
      </c>
      <c r="G8" s="40">
        <v>0</v>
      </c>
      <c r="H8" s="40">
        <v>-1</v>
      </c>
      <c r="I8" s="40">
        <v>1</v>
      </c>
      <c r="J8" s="40">
        <v>5</v>
      </c>
      <c r="K8" s="34"/>
      <c r="L8" s="34" t="str">
        <f>_xlfn.CONCAT(N8," = ",IF(INT(J8)=J8,J8,TEXT(J8,"??/??"))," ÷ ",IF(INT(INDEX(C8:I8,0,MATCH(N8,R$3:X$3,0)))=INDEX(C8:I8,0,MATCH(N8,R$3:X$3,0)),INDEX(C8:I8,0,MATCH(N8,R$3:X$3,0)),TEXT(INDEX(C8:I8,0,MATCH(N8,R$3:X$3,0)),"??/??"))," = ")</f>
        <v xml:space="preserve">x3 = 5 ÷ 3 = </v>
      </c>
      <c r="M8" s="35">
        <f>IF(J8/INDEX(C8:I8,0,MATCH(N8,R$3:X$3,0))&lt;0,"Nao zera",J8/INDEX(C8:I8,0,MATCH(N8,R$3:X$3,0)))</f>
        <v>1.6666666666666667</v>
      </c>
      <c r="N8" s="25" t="str">
        <f>N4</f>
        <v>x3</v>
      </c>
      <c r="Q8" s="34"/>
      <c r="R8" s="34"/>
      <c r="S8" s="34"/>
      <c r="T8" s="34"/>
      <c r="U8" s="34"/>
      <c r="V8" s="34"/>
      <c r="W8" s="34"/>
      <c r="X8" s="34"/>
      <c r="Y8" s="34"/>
      <c r="AA8" s="34"/>
      <c r="AB8" s="35"/>
      <c r="AC8" s="25" t="str">
        <f>AC4</f>
        <v>x3</v>
      </c>
    </row>
    <row r="9" spans="2:29" x14ac:dyDescent="0.25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AC9" s="34"/>
    </row>
    <row r="10" spans="2:29" x14ac:dyDescent="0.25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 t="s">
        <v>37</v>
      </c>
      <c r="M10" s="35" t="str">
        <f ca="1">OFFSET(B6,MATCH(MIN(M6:M8),M6:M8,0)-1,0)</f>
        <v>x7</v>
      </c>
      <c r="N10" s="34"/>
      <c r="AA10" s="34" t="s">
        <v>37</v>
      </c>
      <c r="AB10" s="35" t="str">
        <f ca="1">OFFSET(Q6,MATCH(MIN(AB6:AB7),AB6:AB7,0)-1,0)</f>
        <v>x6</v>
      </c>
      <c r="AC10" s="34"/>
    </row>
    <row r="11" spans="2:29" x14ac:dyDescent="0.25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 t="s">
        <v>38</v>
      </c>
      <c r="M11" s="35">
        <f ca="1">INDEX(C6:I8,MATCH(M10,B6:B8,0),MATCH(N4,R$3:X$3,0))</f>
        <v>3</v>
      </c>
      <c r="N11" s="34"/>
      <c r="AA11" s="34" t="s">
        <v>38</v>
      </c>
      <c r="AB11" s="35">
        <f ca="1">INDEX(R6:X7,MATCH(AB10,Q6:Q7,0),MATCH(AC4,R$3:X$3,0))</f>
        <v>13</v>
      </c>
    </row>
    <row r="12" spans="2:29" x14ac:dyDescent="0.25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</row>
    <row r="13" spans="2:29" x14ac:dyDescent="0.25">
      <c r="B13" s="32"/>
      <c r="C13" s="32" t="str">
        <f>C3</f>
        <v>x1</v>
      </c>
      <c r="D13" s="32" t="str">
        <f t="shared" ref="D13:J13" si="0">D3</f>
        <v>x2</v>
      </c>
      <c r="E13" s="32" t="str">
        <f t="shared" si="0"/>
        <v>x3</v>
      </c>
      <c r="F13" s="32" t="str">
        <f t="shared" si="0"/>
        <v>x4</v>
      </c>
      <c r="G13" s="32" t="str">
        <f t="shared" si="0"/>
        <v>x5</v>
      </c>
      <c r="H13" s="32" t="str">
        <f t="shared" si="0"/>
        <v>x6</v>
      </c>
      <c r="I13" s="32" t="str">
        <f t="shared" si="0"/>
        <v>x7</v>
      </c>
      <c r="J13" s="32" t="str">
        <f t="shared" si="0"/>
        <v>z0</v>
      </c>
      <c r="K13" s="34"/>
      <c r="L13" s="34"/>
      <c r="M13" s="34"/>
      <c r="N13" s="34"/>
      <c r="Q13" s="32"/>
      <c r="R13" s="32" t="str">
        <f>R3</f>
        <v>x1</v>
      </c>
      <c r="S13" s="32" t="str">
        <f t="shared" ref="S13:Y13" si="1">S3</f>
        <v>x2</v>
      </c>
      <c r="T13" s="32" t="str">
        <f t="shared" si="1"/>
        <v>x3</v>
      </c>
      <c r="U13" s="32" t="str">
        <f t="shared" si="1"/>
        <v>x4</v>
      </c>
      <c r="V13" s="32" t="str">
        <f t="shared" si="1"/>
        <v>x5</v>
      </c>
      <c r="W13" s="32" t="str">
        <f t="shared" si="1"/>
        <v>x6</v>
      </c>
      <c r="X13" s="32" t="str">
        <f t="shared" si="1"/>
        <v>x7</v>
      </c>
      <c r="Y13" s="32" t="str">
        <f t="shared" si="1"/>
        <v>z0</v>
      </c>
    </row>
    <row r="14" spans="2:29" x14ac:dyDescent="0.25">
      <c r="B14" s="39" t="str">
        <f>B4</f>
        <v>-w</v>
      </c>
      <c r="C14" s="38">
        <f ca="1">IF($B14=$N4,IF(R$3=$N4,C4/C4,C4/$M11),IF(R$3=$N4,0,C4+(-1*INDEX($C4:$J4,0,MATCH($N4,$R$3:$Y$3,0)))*INDEX($C5:$J8,MATCH($M10,$B5:$B8,0),MATCH(R$3,$R$3:$Y$3,0))/$M11))</f>
        <v>-3</v>
      </c>
      <c r="D14" s="38">
        <f ca="1">IF($B14=$N4,IF(S$3=$N4,D4/D4,D4/$M11),IF(S$3=$N4,0,D4+(-1*INDEX($C4:$J4,0,MATCH($N4,$R$3:$Y$3,0)))*INDEX($C5:$J8,MATCH($M10,$B5:$B8,0),MATCH(S$3,$R$3:$Y$3,0))/$M11))</f>
        <v>4.333333333333333</v>
      </c>
      <c r="E14" s="38">
        <f>IF($B14=$N4,IF(T$3=$N4,E4/E4,E4/$M11),IF(T$3=$N4,0,E4+(-1*INDEX($C4:$J4,0,MATCH($N4,$R$3:$Y$3,0)))*INDEX($C5:$J8,MATCH($M10,$B5:$B8,0),MATCH(T$3,$R$3:$Y$3,0))/$M11))</f>
        <v>0</v>
      </c>
      <c r="F14" s="38">
        <f ca="1">IF($B14=$N4,IF(U$3=$N4,F4/F4,F4/$M11),IF(U$3=$N4,0,F4+(-1*INDEX($C4:$J4,0,MATCH($N4,$R$3:$Y$3,0)))*INDEX($C5:$J8,MATCH($M10,$B5:$B8,0),MATCH(U$3,$R$3:$Y$3,0))/$M11))</f>
        <v>0</v>
      </c>
      <c r="G14" s="38">
        <f ca="1">IF($B14=$N4,IF(V$3=$N4,G4/G4,G4/$M11),IF(V$3=$N4,0,G4+(-1*INDEX($C4:$J4,0,MATCH($N4,$R$3:$Y$3,0)))*INDEX($C5:$J8,MATCH($M10,$B5:$B8,0),MATCH(V$3,$R$3:$Y$3,0))/$M11))</f>
        <v>0</v>
      </c>
      <c r="H14" s="38">
        <f ca="1">IF($B14=$N4,IF(W$3=$N4,H4/H4,H4/$M11),IF(W$3=$N4,0,H4+(-1*INDEX($C4:$J4,0,MATCH($N4,$R$3:$Y$3,0)))*INDEX($C5:$J8,MATCH($M10,$B5:$B8,0),MATCH(W$3,$R$3:$Y$3,0))/$M11))</f>
        <v>-0.33333333333333326</v>
      </c>
      <c r="I14" s="38">
        <f ca="1">IF($B14=$N4,IF(X$3=$N4,I4/I4,I4/$M11),IF(X$3=$N4,0,I4+(-1*INDEX($C4:$J4,0,MATCH($N4,$R$3:$Y$3,0)))*INDEX($C5:$J8,MATCH($M10,$B5:$B8,0),MATCH(X$3,$R$3:$Y$3,0))/$M11))</f>
        <v>1.3333333333333333</v>
      </c>
      <c r="J14" s="38">
        <f ca="1">IF($B14=$N4,IF(Y$3=$N4,J4/J4,J4/$M11),IF(Y$3=$N4,0,J4+(-1*INDEX($C4:$J4,0,MATCH($N4,$R$3:$Y$3,0)))*INDEX($C5:$J8,MATCH($M10,$B5:$B8,0),MATCH(Y$3,$R$3:$Y$3,0))/$M11))</f>
        <v>-6.333333333333333</v>
      </c>
      <c r="K14" s="34"/>
      <c r="L14" s="34" t="s">
        <v>36</v>
      </c>
      <c r="M14" s="34" t="str">
        <f t="array" aca="1" ref="M14" ca="1">IF(MIN(IF(C14:I14&gt;=0,1,-1))=1,"Não","Sim")</f>
        <v>Sim</v>
      </c>
      <c r="N14" s="34" t="str">
        <f ca="1">IF(M14="Sim",INDEX(C13:I13,0,MATCH(MIN(C14:I14),C14:I14,0))," ")</f>
        <v>x1</v>
      </c>
      <c r="Q14" s="39" t="str">
        <f>Q4</f>
        <v>-w</v>
      </c>
      <c r="R14" s="38">
        <f ca="1">IF($Q14=$AC4,IF(R$3=$AC4,R4/R4,R4/$AB11),IF(R$3=$AC4,0,R4+(-1*INDEX($R4:$Y4,0,MATCH($AC4,$R$3:$Y$3,0)))*INDEX($R5:$Y7,MATCH($AB10,$Q5:$Q7,0),MATCH(R$3,$R$3:$Y$3,0))/$AB11))</f>
        <v>0.92307692307692335</v>
      </c>
      <c r="S14" s="38">
        <f t="shared" ref="S14:Y14" ca="1" si="2">IF($Q14=$AC4,IF(S$3=$AC4,S4/S4,S4/$AB11),IF(S$3=$AC4,0,S4+(-1*INDEX($R4:$Y4,0,MATCH($AC4,$R$3:$Y$3,0)))*INDEX($R5:$Y7,MATCH($AB10,$Q5:$Q7,0),MATCH(S$3,$R$3:$Y$3,0))/$AB11))</f>
        <v>-0.53846153846153832</v>
      </c>
      <c r="T14" s="38">
        <f t="shared" si="2"/>
        <v>0</v>
      </c>
      <c r="U14" s="38">
        <f t="shared" ca="1" si="2"/>
        <v>0.23076923076923084</v>
      </c>
      <c r="V14" s="38">
        <f t="shared" ca="1" si="2"/>
        <v>-0.61538461538461542</v>
      </c>
      <c r="W14" s="38">
        <f t="shared" ca="1" si="2"/>
        <v>1.3846153846153846</v>
      </c>
      <c r="X14" s="38">
        <f t="shared" ca="1" si="2"/>
        <v>0</v>
      </c>
      <c r="Y14" s="38">
        <f t="shared" ca="1" si="2"/>
        <v>-0.3076923076923066</v>
      </c>
      <c r="AA14" s="34" t="s">
        <v>36</v>
      </c>
      <c r="AB14" s="34" t="str">
        <f t="array" aca="1" ref="AB14" ca="1">IF(MIN(IF(R14:X14&gt;=0,1,-1))=1,"Não","Sim")</f>
        <v>Sim</v>
      </c>
      <c r="AC14" s="34" t="str">
        <f ca="1">IF(AB14="Sim",INDEX(R13:X13,0,MATCH(MIN(R14:X14),R14:X14,0))," ")</f>
        <v>x5</v>
      </c>
    </row>
    <row r="15" spans="2:29" x14ac:dyDescent="0.25">
      <c r="B15" s="39" t="str">
        <f>B5</f>
        <v>-z'</v>
      </c>
      <c r="C15" s="38">
        <f ca="1">IF($B15=$N4,IF(R$3=$N4,C5/C5,C5/$M11),IF(R$3=$N4,0,C5+(-1*INDEX($C5:$J5,0,MATCH($N4,$R$3:$Y$3,0)))*INDEX($C5:$J8,MATCH($M10,$B5:$B8,0),MATCH(R$3,$R$3:$Y$3,0))/$M11))</f>
        <v>3</v>
      </c>
      <c r="D15" s="38">
        <f ca="1">IF($B15=$N4,IF(S$3=$N4,D5/D5,D5/$M11),IF(S$3=$N4,0,D5+(-1*INDEX($C5:$J5,0,MATCH($N4,$R$3:$Y$3,0)))*INDEX($C5:$J8,MATCH($M10,$B5:$B8,0),MATCH(S$3,$R$3:$Y$3,0))/$M11))</f>
        <v>-10.333333333333334</v>
      </c>
      <c r="E15" s="38">
        <f>IF($B15=$N4,IF(T$3=$N4,E5/E5,E5/$M11),IF(T$3=$N4,0,E5+(-1*INDEX($C5:$J5,0,MATCH($N4,$R$3:$Y$3,0)))*INDEX($C5:$J8,MATCH($M10,$B5:$B8,0),MATCH(T$3,$R$3:$Y$3,0))/$M11))</f>
        <v>0</v>
      </c>
      <c r="F15" s="38">
        <f ca="1">IF($B15=$N4,IF(U$3=$N4,F5/F5,F5/$M11),IF(U$3=$N4,0,F5+(-1*INDEX($C5:$J5,0,MATCH($N4,$R$3:$Y$3,0)))*INDEX($C5:$J8,MATCH($M10,$B5:$B8,0),MATCH(U$3,$R$3:$Y$3,0))/$M11))</f>
        <v>0</v>
      </c>
      <c r="G15" s="38">
        <f ca="1">IF($B15=$N4,IF(V$3=$N4,G5/G5,G5/$M11),IF(V$3=$N4,0,G5+(-1*INDEX($C5:$J5,0,MATCH($N4,$R$3:$Y$3,0)))*INDEX($C5:$J8,MATCH($M10,$B5:$B8,0),MATCH(V$3,$R$3:$Y$3,0))/$M11))</f>
        <v>0</v>
      </c>
      <c r="H15" s="38">
        <f ca="1">IF($B15=$N4,IF(W$3=$N4,H5/H5,H5/$M11),IF(W$3=$N4,0,H5+(-1*INDEX($C5:$J5,0,MATCH($N4,$R$3:$Y$3,0)))*INDEX($C5:$J8,MATCH($M10,$B5:$B8,0),MATCH(W$3,$R$3:$Y$3,0))/$M11))</f>
        <v>2.3333333333333335</v>
      </c>
      <c r="I15" s="38">
        <f ca="1">IF($B15=$N4,IF(X$3=$N4,I5/I5,I5/$M11),IF(X$3=$N4,0,I5+(-1*INDEX($C5:$J5,0,MATCH($N4,$R$3:$Y$3,0)))*INDEX($C5:$J8,MATCH($M10,$B5:$B8,0),MATCH(X$3,$R$3:$Y$3,0))/$M11))</f>
        <v>-2.3333333333333335</v>
      </c>
      <c r="J15" s="38">
        <f ca="1">IF($B15=$N4,IF(Y$3=$N4,J5/J5,J5/$M11),IF(Y$3=$N4,0,J5+(-1*INDEX($C5:$J5,0,MATCH($N4,$R$3:$Y$3,0)))*INDEX($C5:$J8,MATCH($M10,$B5:$B8,0),MATCH(Y$3,$R$3:$Y$3,0))/$M11))</f>
        <v>-11.666666666666666</v>
      </c>
      <c r="K15" s="34"/>
      <c r="L15" s="34"/>
      <c r="M15" s="34"/>
      <c r="N15" s="34"/>
      <c r="Q15" s="39" t="str">
        <f>Q5</f>
        <v>-z'</v>
      </c>
      <c r="R15" s="38">
        <f ca="1">IF($Q15=$AC4,IF(R$3=$AC4,R5/R5,R5/$AB11),IF(R$3=$AC4,0,R5+(-1*INDEX($R5:$Y5,0,MATCH($AC4,$R$3:$Y$3,0)))*INDEX($R5:$Y7,MATCH($AB10,$Q5:$Q7,0),MATCH(R$3,$R$3:$Y$3,0))/$AB11))</f>
        <v>3.6923076923076925</v>
      </c>
      <c r="S15" s="38">
        <f t="shared" ref="S15:Y15" ca="1" si="3">IF($Q15=$AC4,IF(S$3=$AC4,S5/S5,S5/$AB11),IF(S$3=$AC4,0,S5+(-1*INDEX($R5:$Y5,0,MATCH($AC4,$R$3:$Y$3,0)))*INDEX($R5:$Y7,MATCH($AB10,$Q5:$Q7,0),MATCH(S$3,$R$3:$Y$3,0))/$AB11))</f>
        <v>3.8461538461538463</v>
      </c>
      <c r="T15" s="38">
        <f t="shared" si="3"/>
        <v>0</v>
      </c>
      <c r="U15" s="38">
        <f t="shared" ca="1" si="3"/>
        <v>-7.6923076923076872E-2</v>
      </c>
      <c r="V15" s="38">
        <f t="shared" ca="1" si="3"/>
        <v>5.5384615384615383</v>
      </c>
      <c r="W15" s="38">
        <f t="shared" ca="1" si="3"/>
        <v>0.53846153846153844</v>
      </c>
      <c r="X15" s="38">
        <f t="shared" ca="1" si="3"/>
        <v>0</v>
      </c>
      <c r="Y15" s="38">
        <f t="shared" ca="1" si="3"/>
        <v>10.76923076923077</v>
      </c>
      <c r="AA15" s="34"/>
      <c r="AB15" s="34"/>
      <c r="AC15" s="34"/>
    </row>
    <row r="16" spans="2:29" x14ac:dyDescent="0.25">
      <c r="B16" s="41" t="str">
        <f ca="1">IF(B6=M10,N4,B6)</f>
        <v>x4</v>
      </c>
      <c r="C16" s="42">
        <f ca="1">IF($B16=$N4,IF(R$3=$N4,C6/C6,C6/$M11),IF(R$3=$N4,0,C6+(-1*INDEX($C6:$J6,0,MATCH($N4,$R$3:$Y$3,0)))*INDEX($C5:$J8,MATCH($M10,$B5:$B8,0),MATCH(R$3,$R$3:$Y$3,0))/$M11))</f>
        <v>3</v>
      </c>
      <c r="D16" s="42">
        <f ca="1">IF($B16=$N4,IF(S$3=$N4,D6/D6,D6/$M11),IF(S$3=$N4,0,D6+(-1*INDEX($C6:$J6,0,MATCH($N4,$R$3:$Y$3,0)))*INDEX($C5:$J8,MATCH($M10,$B5:$B8,0),MATCH(S$3,$R$3:$Y$3,0))/$M11))</f>
        <v>-4.333333333333333</v>
      </c>
      <c r="E16" s="42">
        <f ca="1">IF($B16=$N4,IF(T$3=$N4,E6/E6,E6/$M11),IF(T$3=$N4,0,E6+(-1*INDEX($C6:$J6,0,MATCH($N4,$R$3:$Y$3,0)))*INDEX($C5:$J8,MATCH($M10,$B5:$B8,0),MATCH(T$3,$R$3:$Y$3,0))/$M11))</f>
        <v>0</v>
      </c>
      <c r="F16" s="42">
        <f ca="1">IF($B16=$N4,IF(U$3=$N4,F6/F6,F6/$M11),IF(U$3=$N4,0,F6+(-1*INDEX($C6:$J6,0,MATCH($N4,$R$3:$Y$3,0)))*INDEX($C5:$J8,MATCH($M10,$B5:$B8,0),MATCH(U$3,$R$3:$Y$3,0))/$M11))</f>
        <v>1</v>
      </c>
      <c r="G16" s="42">
        <f ca="1">IF($B16=$N4,IF(V$3=$N4,G6/G6,G6/$M11),IF(V$3=$N4,0,G6+(-1*INDEX($C6:$J6,0,MATCH($N4,$R$3:$Y$3,0)))*INDEX($C5:$J8,MATCH($M10,$B5:$B8,0),MATCH(V$3,$R$3:$Y$3,0))/$M11))</f>
        <v>0</v>
      </c>
      <c r="H16" s="42">
        <f ca="1">IF($B16=$N4,IF(W$3=$N4,H6/H6,H6/$M11),IF(W$3=$N4,0,H6+(-1*INDEX($C6:$J6,0,MATCH($N4,$R$3:$Y$3,0)))*INDEX($C5:$J8,MATCH($M10,$B5:$B8,0),MATCH(W$3,$R$3:$Y$3,0))/$M11))</f>
        <v>0.33333333333333331</v>
      </c>
      <c r="I16" s="42">
        <f ca="1">IF($B16=$N4,IF(X$3=$N4,I6/I6,I6/$M11),IF(X$3=$N4,0,I6+(-1*INDEX($C6:$J6,0,MATCH($N4,$R$3:$Y$3,0)))*INDEX($C5:$J8,MATCH($M10,$B5:$B8,0),MATCH(X$3,$R$3:$Y$3,0))/$M11))</f>
        <v>-0.33333333333333331</v>
      </c>
      <c r="J16" s="42">
        <f ca="1">IF($B16=$N4,IF(Y$3=$N4,J6/J6,J6/$M11),IF(Y$3=$N4,0,J6+(-1*INDEX($C6:$J6,0,MATCH($N4,$R$3:$Y$3,0)))*INDEX($C5:$J8,MATCH($M10,$B5:$B8,0),MATCH(Y$3,$R$3:$Y$3,0))/$M11))</f>
        <v>6.333333333333333</v>
      </c>
      <c r="K16" s="34"/>
      <c r="L16" s="34" t="str">
        <f ca="1">_xlfn.CONCAT(N16," = ",IF(INT(J16)=J16,J16,TEXT(J16,"??/??"))," ÷ ",IF(INT(INDEX(C16:I16,0,MATCH(N16,R$3:X$3,0)))=INDEX(C16:I16,0,MATCH(N16,R$3:X$3,0)),INDEX(C16:I16,0,MATCH(N16,R$3:X$3,0)),TEXT(INDEX(C16:I16,0,MATCH(N16,R$3:X$3,0)),"??/??"))," = ")</f>
        <v xml:space="preserve">x1 = 19/3  ÷ 3 = </v>
      </c>
      <c r="M16" s="35">
        <f ca="1">IF(J16/INDEX(C16:I16,0,MATCH(N16,R$3:X$3,0))&lt;0,"Nao zera",J16/INDEX(C16:I16,0,MATCH(N16,R$3:X$3,0)))</f>
        <v>2.1111111111111112</v>
      </c>
      <c r="N16" s="25" t="str">
        <f ca="1">N14</f>
        <v>x1</v>
      </c>
      <c r="Q16" s="41" t="str">
        <f ca="1">IF(Q6=AB10,AC4,Q6)</f>
        <v>x3</v>
      </c>
      <c r="R16" s="42">
        <f ca="1">IF($Q16=$AC4,IF(R$3=$AC4,R6/R6,R6/$AB11),IF(R$3=$AC4,0,R6+(-1*INDEX($R6:$Y6,0,MATCH($AC4,$R$3:$Y$3,0)))*INDEX($R5:$Y7,MATCH($AB10,$Q5:$Q7,0),MATCH(R$3,$R$3:$Y$3,0))/$AB11))</f>
        <v>0.38461538461538464</v>
      </c>
      <c r="S16" s="42">
        <f t="shared" ref="S16:Y16" ca="1" si="4">IF($Q16=$AC4,IF(S$3=$AC4,S6/S6,S6/$AB11),IF(S$3=$AC4,0,S6+(-1*INDEX($R6:$Y6,0,MATCH($AC4,$R$3:$Y$3,0)))*INDEX($R5:$Y7,MATCH($AB10,$Q5:$Q7,0),MATCH(S$3,$R$3:$Y$3,0))/$AB11))</f>
        <v>-0.30769230769230771</v>
      </c>
      <c r="T16" s="42">
        <f t="shared" ca="1" si="4"/>
        <v>1</v>
      </c>
      <c r="U16" s="42">
        <f t="shared" ca="1" si="4"/>
        <v>-0.15384615384615385</v>
      </c>
      <c r="V16" s="42">
        <f t="shared" ca="1" si="4"/>
        <v>7.6923076923076927E-2</v>
      </c>
      <c r="W16" s="42">
        <f t="shared" ca="1" si="4"/>
        <v>7.6923076923076927E-2</v>
      </c>
      <c r="X16" s="42">
        <f t="shared" ca="1" si="4"/>
        <v>0</v>
      </c>
      <c r="Y16" s="42">
        <f t="shared" ca="1" si="4"/>
        <v>1.5384615384615385</v>
      </c>
      <c r="AA16" s="34" t="str">
        <f ca="1">_xlfn.CONCAT(AC16," = ",IF(INT(Y16)=Y16,Y16,TEXT(Y16,"??/??"))," ÷ ",IF(INT(INDEX(R16:X16,0,MATCH(AC16,R$3:X$3,0)))=INDEX(R16:X16,0,MATCH(AC16,R$3:X$3,0)),INDEX(R16:X16,0,MATCH(AC16,R$3:X$3,0)),TEXT(INDEX(R16:X16,0,MATCH(AC16,R$3:X$3,0)),"??/??"))," = ")</f>
        <v xml:space="preserve">x5 = 20/13 ÷  1/13 = </v>
      </c>
      <c r="AB16" s="35">
        <f ca="1">IF(Y16/INDEX(R16:X16,0,MATCH(AC16,R$3:X$3,0))&lt;0,"Nao zera",Y16/INDEX(R16:X16,0,MATCH(AC16,R$3:X$3,0)))</f>
        <v>20</v>
      </c>
      <c r="AC16" s="25" t="str">
        <f ca="1">AC14</f>
        <v>x5</v>
      </c>
    </row>
    <row r="17" spans="2:29" x14ac:dyDescent="0.25">
      <c r="B17" s="41" t="str">
        <f ca="1">IF(B7=M10,N4,B7)</f>
        <v>x5</v>
      </c>
      <c r="C17" s="42">
        <f ca="1">IF($B17=$N4,IF(R$3=$N4,C7/C7,C7/$M11),IF(R$3=$N4,0,C7+(-1*INDEX($C7:$J7,0,MATCH($N4,$R$3:$Y$3,0)))*INDEX($C5:$J8,MATCH($M10,$B5:$B8,0),MATCH(R$3,$R$3:$Y$3,0))/$M11))</f>
        <v>-1</v>
      </c>
      <c r="D17" s="42">
        <f ca="1">IF($B17=$N4,IF(S$3=$N4,D7/D7,D7/$M11),IF(S$3=$N4,0,D7+(-1*INDEX($C7:$J7,0,MATCH($N4,$R$3:$Y$3,0)))*INDEX($C5:$J8,MATCH($M10,$B5:$B8,0),MATCH(S$3,$R$3:$Y$3,0))/$M11))</f>
        <v>3.6666666666666665</v>
      </c>
      <c r="E17" s="42">
        <f ca="1">IF($B17=$N4,IF(T$3=$N4,E7/E7,E7/$M11),IF(T$3=$N4,0,E7+(-1*INDEX($C7:$J7,0,MATCH($N4,$R$3:$Y$3,0)))*INDEX($C5:$J8,MATCH($M10,$B5:$B8,0),MATCH(T$3,$R$3:$Y$3,0))/$M11))</f>
        <v>0</v>
      </c>
      <c r="F17" s="42">
        <f ca="1">IF($B17=$N4,IF(U$3=$N4,F7/F7,F7/$M11),IF(U$3=$N4,0,F7+(-1*INDEX($C7:$J7,0,MATCH($N4,$R$3:$Y$3,0)))*INDEX($C5:$J8,MATCH($M10,$B5:$B8,0),MATCH(U$3,$R$3:$Y$3,0))/$M11))</f>
        <v>0</v>
      </c>
      <c r="G17" s="42">
        <f ca="1">IF($B17=$N4,IF(V$3=$N4,G7/G7,G7/$M11),IF(V$3=$N4,0,G7+(-1*INDEX($C7:$J7,0,MATCH($N4,$R$3:$Y$3,0)))*INDEX($C5:$J8,MATCH($M10,$B5:$B8,0),MATCH(V$3,$R$3:$Y$3,0))/$M11))</f>
        <v>1</v>
      </c>
      <c r="H17" s="42">
        <f ca="1">IF($B17=$N4,IF(W$3=$N4,H7/H7,H7/$M11),IF(W$3=$N4,0,H7+(-1*INDEX($C7:$J7,0,MATCH($N4,$R$3:$Y$3,0)))*INDEX($C5:$J8,MATCH($M10,$B5:$B8,0),MATCH(W$3,$R$3:$Y$3,0))/$M11))</f>
        <v>-0.66666666666666663</v>
      </c>
      <c r="I17" s="42">
        <f ca="1">IF($B17=$N4,IF(X$3=$N4,I7/I7,I7/$M11),IF(X$3=$N4,0,I7+(-1*INDEX($C7:$J7,0,MATCH($N4,$R$3:$Y$3,0)))*INDEX($C5:$J8,MATCH($M10,$B5:$B8,0),MATCH(X$3,$R$3:$Y$3,0))/$M11))</f>
        <v>0.66666666666666663</v>
      </c>
      <c r="J17" s="42">
        <f ca="1">IF($B17=$N4,IF(Y$3=$N4,J7/J7,J7/$M11),IF(Y$3=$N4,0,J7+(-1*INDEX($C7:$J7,0,MATCH($N4,$R$3:$Y$3,0)))*INDEX($C5:$J8,MATCH($M10,$B5:$B8,0),MATCH(Y$3,$R$3:$Y$3,0))/$M11))</f>
        <v>12.333333333333334</v>
      </c>
      <c r="K17" s="34"/>
      <c r="L17" s="34" t="str">
        <f ca="1">_xlfn.CONCAT(N17," = ",IF(INT(J17)=J17,J17,TEXT(J17,"??/??"))," ÷ ",IF(INT(INDEX(C17:I17,0,MATCH(N17,R$3:X$3,0)))=INDEX(C17:I17,0,MATCH(N17,R$3:X$3,0)),INDEX(C17:I17,0,MATCH(N17,R$3:X$3,0)),TEXT(INDEX(C17:I17,0,MATCH(N17,R$3:X$3,0)),"??/??"))," = ")</f>
        <v xml:space="preserve">x1 = 37/3  ÷ -1 = </v>
      </c>
      <c r="M17" s="35" t="str">
        <f ca="1">IF(J17/INDEX(C17:I17,0,MATCH(N17,R$3:X$3,0))&lt;0,"Nao zera",J17/INDEX(C17:I17,0,MATCH(N17,R$3:X$3,0)))</f>
        <v>Nao zera</v>
      </c>
      <c r="N17" s="25" t="str">
        <f ca="1">N14</f>
        <v>x1</v>
      </c>
      <c r="Q17" s="41" t="str">
        <f ca="1">IF(Q7=AB10,AC4,Q7)</f>
        <v>x7</v>
      </c>
      <c r="R17" s="42">
        <f ca="1">IF($Q17=$AC4,IF(R$3=$AC4,R7/R7,R7/$AB11),IF(R$3=$AC4,0,R7+(-1*INDEX($R7:$Y7,0,MATCH($AC4,$R$3:$Y$3,0)))*INDEX($R5:$Y7,MATCH($AB10,$Q5:$Q7,0),MATCH(R$3,$R$3:$Y$3,0))/$AB11))</f>
        <v>-0.92307692307692313</v>
      </c>
      <c r="S17" s="42">
        <f t="shared" ref="S17:Y17" ca="1" si="5">IF($Q17=$AC4,IF(S$3=$AC4,S7/S7,S7/$AB11),IF(S$3=$AC4,0,S7+(-1*INDEX($R7:$Y7,0,MATCH($AC4,$R$3:$Y$3,0)))*INDEX($R5:$Y7,MATCH($AB10,$Q5:$Q7,0),MATCH(S$3,$R$3:$Y$3,0))/$AB11))</f>
        <v>0.53846153846153855</v>
      </c>
      <c r="T17" s="42">
        <f t="shared" ca="1" si="5"/>
        <v>0</v>
      </c>
      <c r="U17" s="42">
        <f t="shared" ca="1" si="5"/>
        <v>-0.23076923076923073</v>
      </c>
      <c r="V17" s="42">
        <f t="shared" ca="1" si="5"/>
        <v>0.61538461538461542</v>
      </c>
      <c r="W17" s="42">
        <f t="shared" ca="1" si="5"/>
        <v>-0.38461538461538464</v>
      </c>
      <c r="X17" s="42">
        <f t="shared" ca="1" si="5"/>
        <v>1</v>
      </c>
      <c r="Y17" s="42">
        <f t="shared" ca="1" si="5"/>
        <v>0.30769230769230749</v>
      </c>
      <c r="AA17" s="34" t="str">
        <f ca="1">_xlfn.CONCAT(AC17," = ",IF(INT(Y17)=Y17,Y17,TEXT(Y17,"??/??"))," ÷ ",IF(INT(INDEX(R17:X17,0,MATCH(AC17,R$3:X$3,0)))=INDEX(R17:X17,0,MATCH(AC17,R$3:X$3,0)),INDEX(R17:X17,0,MATCH(AC17,R$3:X$3,0)),TEXT(INDEX(R17:X17,0,MATCH(AC17,R$3:X$3,0)),"??/??"))," = ")</f>
        <v xml:space="preserve">x5 =  4/13 ÷  8/13 = </v>
      </c>
      <c r="AB17" s="35">
        <f ca="1">IF(Y17/INDEX(R17:X17,0,MATCH(AC17,R$3:X$3,0))&lt;0,"Nao zera",Y17/INDEX(R17:X17,0,MATCH(AC17,R$3:X$3,0)))</f>
        <v>0.49999999999999967</v>
      </c>
      <c r="AC17" s="25" t="str">
        <f ca="1">AC14</f>
        <v>x5</v>
      </c>
    </row>
    <row r="18" spans="2:29" x14ac:dyDescent="0.25">
      <c r="B18" s="41" t="str">
        <f ca="1">IF(B8=M10,N4,B8)</f>
        <v>x3</v>
      </c>
      <c r="C18" s="42">
        <f ca="1">IF($B18=$N4,IF(R$3=$N4,C8/C8,C8/$M11),IF(R$3=$N4,0,C8+(-1*INDEX($C8:$J8,0,MATCH($N4,$R$3:$Y$3,0)))*INDEX($C5:$J8,MATCH($M10,$B5:$B8,0),MATCH(R$3,$R$3:$Y$3,0))/$M11))</f>
        <v>-1</v>
      </c>
      <c r="D18" s="42">
        <f ca="1">IF($B18=$N4,IF(S$3=$N4,D8/D8,D8/$M11),IF(S$3=$N4,0,D8+(-1*INDEX($C8:$J8,0,MATCH($N4,$R$3:$Y$3,0)))*INDEX($C5:$J8,MATCH($M10,$B5:$B8,0),MATCH(S$3,$R$3:$Y$3,0))/$M11))</f>
        <v>1.3333333333333333</v>
      </c>
      <c r="E18" s="42">
        <f ca="1">IF($B18=$N4,IF(T$3=$N4,E8/E8,E8/$M11),IF(T$3=$N4,0,E8+(-1*INDEX($C8:$J8,0,MATCH($N4,$R$3:$Y$3,0)))*INDEX($C5:$J8,MATCH($M10,$B5:$B8,0),MATCH(T$3,$R$3:$Y$3,0))/$M11))</f>
        <v>1</v>
      </c>
      <c r="F18" s="42">
        <f ca="1">IF($B18=$N4,IF(U$3=$N4,F8/F8,F8/$M11),IF(U$3=$N4,0,F8+(-1*INDEX($C8:$J8,0,MATCH($N4,$R$3:$Y$3,0)))*INDEX($C5:$J8,MATCH($M10,$B5:$B8,0),MATCH(U$3,$R$3:$Y$3,0))/$M11))</f>
        <v>0</v>
      </c>
      <c r="G18" s="42">
        <f ca="1">IF($B18=$N4,IF(V$3=$N4,G8/G8,G8/$M11),IF(V$3=$N4,0,G8+(-1*INDEX($C8:$J8,0,MATCH($N4,$R$3:$Y$3,0)))*INDEX($C5:$J8,MATCH($M10,$B5:$B8,0),MATCH(V$3,$R$3:$Y$3,0))/$M11))</f>
        <v>0</v>
      </c>
      <c r="H18" s="42">
        <f ca="1">IF($B18=$N4,IF(W$3=$N4,H8/H8,H8/$M11),IF(W$3=$N4,0,H8+(-1*INDEX($C8:$J8,0,MATCH($N4,$R$3:$Y$3,0)))*INDEX($C5:$J8,MATCH($M10,$B5:$B8,0),MATCH(W$3,$R$3:$Y$3,0))/$M11))</f>
        <v>-0.33333333333333331</v>
      </c>
      <c r="I18" s="42">
        <f ca="1">IF($B18=$N4,IF(X$3=$N4,I8/I8,I8/$M11),IF(X$3=$N4,0,I8+(-1*INDEX($C8:$J8,0,MATCH($N4,$R$3:$Y$3,0)))*INDEX($C5:$J8,MATCH($M10,$B5:$B8,0),MATCH(X$3,$R$3:$Y$3,0))/$M11))</f>
        <v>0.33333333333333331</v>
      </c>
      <c r="J18" s="42">
        <f ca="1">IF($B18=$N4,IF(Y$3=$N4,J8/J8,J8/$M11),IF(Y$3=$N4,0,J8+(-1*INDEX($C8:$J8,0,MATCH($N4,$R$3:$Y$3,0)))*INDEX($C5:$J8,MATCH($M10,$B5:$B8,0),MATCH(Y$3,$R$3:$Y$3,0))/$M11))</f>
        <v>1.6666666666666667</v>
      </c>
      <c r="K18" s="34"/>
      <c r="L18" s="34" t="str">
        <f ca="1">_xlfn.CONCAT(N18," = ",IF(INT(J18)=J18,J18,TEXT(J18,"??/??"))," ÷ ",IF(INT(INDEX(C18:I18,0,MATCH(N18,R$3:X$3,0)))=INDEX(C18:I18,0,MATCH(N18,R$3:X$3,0)),INDEX(C18:I18,0,MATCH(N18,R$3:X$3,0)),TEXT(INDEX(C18:I18,0,MATCH(N18,R$3:X$3,0)),"??/??"))," = ")</f>
        <v xml:space="preserve">x1 =  5/3  ÷ -1 = </v>
      </c>
      <c r="M18" s="35" t="str">
        <f ca="1">IF(J18/INDEX(C18:I18,0,MATCH(N18,R$3:X$3,0))&lt;0,"Nao zera",J18/INDEX(C18:I18,0,MATCH(N18,R$3:X$3,0)))</f>
        <v>Nao zera</v>
      </c>
      <c r="N18" s="25" t="str">
        <f ca="1">N14</f>
        <v>x1</v>
      </c>
      <c r="Q18" s="34"/>
      <c r="R18" s="34"/>
      <c r="S18" s="34"/>
      <c r="T18" s="34"/>
      <c r="U18" s="34"/>
      <c r="V18" s="34"/>
      <c r="W18" s="34"/>
      <c r="X18" s="34"/>
      <c r="Y18" s="34"/>
      <c r="AA18" s="34"/>
      <c r="AB18" s="35"/>
      <c r="AC18" s="25" t="str">
        <f ca="1">AC14</f>
        <v>x5</v>
      </c>
    </row>
    <row r="19" spans="2:29" x14ac:dyDescent="0.25"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AA19" s="34"/>
      <c r="AB19" s="34"/>
      <c r="AC19" s="34"/>
    </row>
    <row r="20" spans="2:29" x14ac:dyDescent="0.25"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 t="s">
        <v>37</v>
      </c>
      <c r="M20" s="35" t="str">
        <f ca="1">OFFSET(B16,MATCH(MIN(M16:M18),M16:M18,0)-1,0)</f>
        <v>x4</v>
      </c>
      <c r="N20" s="34"/>
      <c r="AA20" s="34" t="s">
        <v>37</v>
      </c>
      <c r="AB20" s="35" t="str">
        <f ca="1">OFFSET(Q16,MATCH(MIN(AB16:AB17),AB16:AB17,0)-1,0)</f>
        <v>x7</v>
      </c>
      <c r="AC20" s="34"/>
    </row>
    <row r="21" spans="2:29" x14ac:dyDescent="0.25"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 t="s">
        <v>38</v>
      </c>
      <c r="M21" s="35">
        <f ca="1">INDEX(C16:I18,MATCH(M20,B16:B18,0),MATCH(N14,R$3:X$3,0))</f>
        <v>3</v>
      </c>
      <c r="N21" s="34"/>
      <c r="AA21" s="34" t="s">
        <v>38</v>
      </c>
      <c r="AB21" s="35">
        <f ca="1">INDEX(R16:X17,MATCH(AB20,Q16:Q17,0),MATCH(AC14,R$3:X$3,0))</f>
        <v>0.61538461538461542</v>
      </c>
      <c r="AC21" s="34"/>
    </row>
    <row r="23" spans="2:29" x14ac:dyDescent="0.25">
      <c r="B23" s="32"/>
      <c r="C23" s="32" t="str">
        <f>R13</f>
        <v>x1</v>
      </c>
      <c r="D23" s="32" t="str">
        <f>S13</f>
        <v>x2</v>
      </c>
      <c r="E23" s="32" t="str">
        <f>T13</f>
        <v>x3</v>
      </c>
      <c r="F23" s="32" t="str">
        <f>U13</f>
        <v>x4</v>
      </c>
      <c r="G23" s="32" t="str">
        <f>V13</f>
        <v>x5</v>
      </c>
      <c r="H23" s="32" t="str">
        <f>W13</f>
        <v>x6</v>
      </c>
      <c r="I23" s="32" t="str">
        <f>X13</f>
        <v>x7</v>
      </c>
      <c r="J23" s="32" t="str">
        <f>Y13</f>
        <v>z0</v>
      </c>
      <c r="R23" t="str">
        <f>R13</f>
        <v>x1</v>
      </c>
      <c r="S23" s="34" t="str">
        <f t="shared" ref="S23:Y23" si="6">S13</f>
        <v>x2</v>
      </c>
      <c r="T23" s="34" t="str">
        <f t="shared" si="6"/>
        <v>x3</v>
      </c>
      <c r="U23" s="34" t="str">
        <f t="shared" si="6"/>
        <v>x4</v>
      </c>
      <c r="V23" s="34" t="str">
        <f t="shared" si="6"/>
        <v>x5</v>
      </c>
      <c r="W23" s="34" t="str">
        <f t="shared" si="6"/>
        <v>x6</v>
      </c>
      <c r="X23" s="34" t="str">
        <f t="shared" si="6"/>
        <v>x7</v>
      </c>
      <c r="Y23" s="34" t="str">
        <f t="shared" si="6"/>
        <v>z0</v>
      </c>
    </row>
    <row r="24" spans="2:29" x14ac:dyDescent="0.25">
      <c r="B24" s="39" t="str">
        <f>Q14</f>
        <v>-w</v>
      </c>
      <c r="C24" s="38">
        <f ca="1">IF($B24=$AC14,IF(R$3=$AC14,R14/R14,R14/$AB21),IF(R$3=$AC14,0,R14+(-1*INDEX($R14:$Y14,0,MATCH($AC14,$R$3:$Y$3,0)))*INDEX($R15:$Y18,MATCH($AB20,$Q15:$Q18,0),MATCH(R$3,$R$3:$Y$3,0))/$AB21))</f>
        <v>3.3306690738754696E-16</v>
      </c>
      <c r="D24" s="38">
        <f ca="1">IF($B24=$AC14,IF(S$3=$AC14,S14/S14,S14/$AB21),IF(S$3=$AC14,0,S14+(-1*INDEX($R14:$Y14,0,MATCH($AC14,$R$3:$Y$3,0)))*INDEX($R15:$Y18,MATCH($AB20,$Q15:$Q18,0),MATCH(S$3,$R$3:$Y$3,0))/$AB21))</f>
        <v>2.2204460492503131E-16</v>
      </c>
      <c r="E24" s="38">
        <f ca="1">IF($B24=$AC14,IF(T$3=$AC14,T14/T14,T14/$AB21),IF(T$3=$AC14,0,T14+(-1*INDEX($R14:$Y14,0,MATCH($AC14,$R$3:$Y$3,0)))*INDEX($R15:$Y18,MATCH($AB20,$Q15:$Q18,0),MATCH(T$3,$R$3:$Y$3,0))/$AB21))</f>
        <v>0</v>
      </c>
      <c r="F24" s="38">
        <f ca="1">IF($B24=$AC14,IF(U$3=$AC14,U14/U14,U14/$AB21),IF(U$3=$AC14,0,U14+(-1*INDEX($R14:$Y14,0,MATCH($AC14,$R$3:$Y$3,0)))*INDEX($R15:$Y18,MATCH($AB20,$Q15:$Q18,0),MATCH(U$3,$R$3:$Y$3,0))/$AB21))</f>
        <v>1.1102230246251565E-16</v>
      </c>
      <c r="G24" s="38">
        <f ca="1">IF($B24=$AC14,IF(V$3=$AC14,V14/V14,V14/$AB21),IF(V$3=$AC14,0,V14+(-1*INDEX($R14:$Y14,0,MATCH($AC14,$R$3:$Y$3,0)))*INDEX($R15:$Y18,MATCH($AB20,$Q15:$Q18,0),MATCH(V$3,$R$3:$Y$3,0))/$AB21))</f>
        <v>0</v>
      </c>
      <c r="H24" s="38">
        <f ca="1">IF($B24=$AC14,IF(W$3=$AC14,W14/W14,W14/$AB21),IF(W$3=$AC14,0,W14+(-1*INDEX($R14:$Y14,0,MATCH($AC14,$R$3:$Y$3,0)))*INDEX($R15:$Y18,MATCH($AB20,$Q15:$Q18,0),MATCH(W$3,$R$3:$Y$3,0))/$AB21))</f>
        <v>1</v>
      </c>
      <c r="I24" s="38">
        <f ca="1">IF($B24=$AC14,IF(X$3=$AC14,X14/X14,X14/$AB21),IF(X$3=$AC14,0,X14+(-1*INDEX($R14:$Y14,0,MATCH($AC14,$R$3:$Y$3,0)))*INDEX($R15:$Y18,MATCH($AB20,$Q15:$Q18,0),MATCH(X$3,$R$3:$Y$3,0))/$AB21))</f>
        <v>1</v>
      </c>
      <c r="J24" s="38">
        <f ca="1">IF($B24=$AC14,IF(Y$3=$AC14,Y14/Y14,Y14/$AB21),IF(Y$3=$AC14,0,Y14+(-1*INDEX($R14:$Y14,0,MATCH($AC14,$R$3:$Y$3,0)))*INDEX($R15:$Y18,MATCH($AB20,$Q15:$Q18,0),MATCH(Y$3,$R$3:$Y$3,0))/$AB21))</f>
        <v>8.8817841970012523E-16</v>
      </c>
      <c r="L24" s="34" t="s">
        <v>36</v>
      </c>
      <c r="M24" s="34" t="str">
        <f t="array" aca="1" ref="M24" ca="1">IF(MIN(IF(C24:I24&gt;=0,1,-1))=1,"Não","Sim")</f>
        <v>Não</v>
      </c>
      <c r="N24" s="34" t="str">
        <f ca="1">IF(M24="Sim",INDEX(C23:I23,0,MATCH(MIN(C24:I24),C24:I24,0))," ")</f>
        <v xml:space="preserve"> </v>
      </c>
      <c r="Q24" s="47" t="str">
        <f>Q14</f>
        <v>-w</v>
      </c>
      <c r="R24" s="36">
        <f ca="1">IF($Q24=$AC14,IF(R$3=$AC14,R14/R14,R14/$AB21),IF(R$3=$AC14,0,R14+(-1*INDEX($R14:$Y14,0,MATCH($AC14,$R$3:$Y$3,0)))*INDEX($R15:$Y17,MATCH($AB20,$Q15:$Q17,0),MATCH(R$3,$R$3:$Y$3,0))/$AB21))</f>
        <v>3.3306690738754696E-16</v>
      </c>
      <c r="S24" s="36">
        <f t="shared" ref="S24:Y24" ca="1" si="7">IF($Q24=$AC14,IF(S$3=$AC14,S14/S14,S14/$AB21),IF(S$3=$AC14,0,S14+(-1*INDEX($R14:$Y14,0,MATCH($AC14,$R$3:$Y$3,0)))*INDEX($R15:$Y17,MATCH($AB20,$Q15:$Q17,0),MATCH(S$3,$R$3:$Y$3,0))/$AB21))</f>
        <v>2.2204460492503131E-16</v>
      </c>
      <c r="T24" s="36">
        <f t="shared" ca="1" si="7"/>
        <v>0</v>
      </c>
      <c r="U24" s="36">
        <f t="shared" ca="1" si="7"/>
        <v>1.1102230246251565E-16</v>
      </c>
      <c r="V24" s="36">
        <f t="shared" ca="1" si="7"/>
        <v>0</v>
      </c>
      <c r="W24" s="36">
        <f t="shared" ca="1" si="7"/>
        <v>1</v>
      </c>
      <c r="X24" s="36">
        <f t="shared" ca="1" si="7"/>
        <v>1</v>
      </c>
      <c r="Y24" s="36">
        <f t="shared" ca="1" si="7"/>
        <v>8.8817841970012523E-16</v>
      </c>
      <c r="AA24" s="34" t="s">
        <v>36</v>
      </c>
      <c r="AB24" s="34" t="str">
        <f t="array" aca="1" ref="AB24" ca="1">IF(MIN(IF(R24:X24&gt;=0,1,-1))=1,"Não","Sim")</f>
        <v>Não</v>
      </c>
      <c r="AC24" s="34" t="str">
        <f ca="1">IF(AB24="Sim",INDEX(R23:X23,0,MATCH(MIN(R24:X24),R24:X24,0))," ")</f>
        <v xml:space="preserve"> </v>
      </c>
    </row>
    <row r="25" spans="2:29" x14ac:dyDescent="0.25">
      <c r="B25" s="39" t="str">
        <f>Q15</f>
        <v>-z'</v>
      </c>
      <c r="C25" s="38">
        <f ca="1">IF($B25=$AC14,IF(R$3=$AC14,R15/R15,R15/$AB21),IF(R$3=$AC14,0,R15+(-1*INDEX($R15:$Y15,0,MATCH($AC14,$R$3:$Y$3,0)))*INDEX($R15:$Y18,MATCH($AB20,$Q15:$Q18,0),MATCH(R$3,$R$3:$Y$3,0))/$AB21))</f>
        <v>12</v>
      </c>
      <c r="D25" s="38">
        <f ca="1">IF($B25=$AC14,IF(S$3=$AC14,S15/S15,S15/$AB21),IF(S$3=$AC14,0,S15+(-1*INDEX($R15:$Y15,0,MATCH($AC14,$R$3:$Y$3,0)))*INDEX($R15:$Y18,MATCH($AB20,$Q15:$Q18,0),MATCH(S$3,$R$3:$Y$3,0))/$AB21))</f>
        <v>-1.0000000000000004</v>
      </c>
      <c r="E25" s="38">
        <f ca="1">IF($B25=$AC14,IF(T$3=$AC14,T15/T15,T15/$AB21),IF(T$3=$AC14,0,T15+(-1*INDEX($R15:$Y15,0,MATCH($AC14,$R$3:$Y$3,0)))*INDEX($R15:$Y18,MATCH($AB20,$Q15:$Q18,0),MATCH(T$3,$R$3:$Y$3,0))/$AB21))</f>
        <v>0</v>
      </c>
      <c r="F25" s="38">
        <f ca="1">IF($B25=$AC14,IF(U$3=$AC14,U15/U15,U15/$AB21),IF(U$3=$AC14,0,U15+(-1*INDEX($R15:$Y15,0,MATCH($AC14,$R$3:$Y$3,0)))*INDEX($R15:$Y18,MATCH($AB20,$Q15:$Q18,0),MATCH(U$3,$R$3:$Y$3,0))/$AB21))</f>
        <v>1.9999999999999993</v>
      </c>
      <c r="G25" s="38">
        <f ca="1">IF($B25=$AC14,IF(V$3=$AC14,V15/V15,V15/$AB21),IF(V$3=$AC14,0,V15+(-1*INDEX($R15:$Y15,0,MATCH($AC14,$R$3:$Y$3,0)))*INDEX($R15:$Y18,MATCH($AB20,$Q15:$Q18,0),MATCH(V$3,$R$3:$Y$3,0))/$AB21))</f>
        <v>0</v>
      </c>
      <c r="H25" s="38">
        <f ca="1">IF($B25=$AC14,IF(W$3=$AC14,W15/W15,W15/$AB21),IF(W$3=$AC14,0,W15+(-1*INDEX($R15:$Y15,0,MATCH($AC14,$R$3:$Y$3,0)))*INDEX($R15:$Y18,MATCH($AB20,$Q15:$Q18,0),MATCH(W$3,$R$3:$Y$3,0))/$AB21))</f>
        <v>4</v>
      </c>
      <c r="I25" s="38">
        <f ca="1">IF($B25=$AC14,IF(X$3=$AC14,X15/X15,X15/$AB21),IF(X$3=$AC14,0,X15+(-1*INDEX($R15:$Y15,0,MATCH($AC14,$R$3:$Y$3,0)))*INDEX($R15:$Y18,MATCH($AB20,$Q15:$Q18,0),MATCH(X$3,$R$3:$Y$3,0))/$AB21))</f>
        <v>-9</v>
      </c>
      <c r="J25" s="38">
        <f ca="1">IF($B25=$AC14,IF(Y$3=$AC14,Y15/Y15,Y15/$AB21),IF(Y$3=$AC14,0,Y15+(-1*INDEX($R15:$Y15,0,MATCH($AC14,$R$3:$Y$3,0)))*INDEX($R15:$Y18,MATCH($AB20,$Q15:$Q18,0),MATCH(Y$3,$R$3:$Y$3,0))/$AB21))</f>
        <v>8.0000000000000036</v>
      </c>
      <c r="L25" s="34"/>
      <c r="M25" s="34"/>
      <c r="N25" s="34"/>
      <c r="Q25" s="47" t="str">
        <f>Q15</f>
        <v>-z'</v>
      </c>
      <c r="R25" s="36">
        <f ca="1">IF($Q25=$AC14,IF(R$3=$AC14,R15/R15,R15/$AB21),IF(R$3=$AC14,0,R15+(-1*INDEX($R15:$Y15,0,MATCH($AC14,$R$3:$Y$3,0)))*INDEX($R15:$Y17,MATCH($AB20,$Q15:$Q17,0),MATCH(R$3,$R$3:$Y$3,0))/$AB21))</f>
        <v>12</v>
      </c>
      <c r="S25" s="36">
        <f t="shared" ref="S25:Y25" ca="1" si="8">IF($Q25=$AC14,IF(S$3=$AC14,S15/S15,S15/$AB21),IF(S$3=$AC14,0,S15+(-1*INDEX($R15:$Y15,0,MATCH($AC14,$R$3:$Y$3,0)))*INDEX($R15:$Y17,MATCH($AB20,$Q15:$Q17,0),MATCH(S$3,$R$3:$Y$3,0))/$AB21))</f>
        <v>-1.0000000000000004</v>
      </c>
      <c r="T25" s="36">
        <f t="shared" ca="1" si="8"/>
        <v>0</v>
      </c>
      <c r="U25" s="36">
        <f t="shared" ca="1" si="8"/>
        <v>1.9999999999999993</v>
      </c>
      <c r="V25" s="36">
        <f t="shared" ca="1" si="8"/>
        <v>0</v>
      </c>
      <c r="W25" s="36">
        <f t="shared" ca="1" si="8"/>
        <v>4</v>
      </c>
      <c r="X25" s="36">
        <f t="shared" ca="1" si="8"/>
        <v>-9</v>
      </c>
      <c r="Y25" s="36">
        <f t="shared" ca="1" si="8"/>
        <v>8.0000000000000036</v>
      </c>
      <c r="AA25" s="34"/>
      <c r="AB25" s="34"/>
      <c r="AC25" s="34"/>
    </row>
    <row r="26" spans="2:29" x14ac:dyDescent="0.25">
      <c r="B26" s="41" t="str">
        <f ca="1">IF(Q16=AB20,AC14,Q16)</f>
        <v>x3</v>
      </c>
      <c r="C26" s="42">
        <f ca="1">IF($B26=$AC14,IF(R$3=$AC14,R16/R16,R16/$AB21),IF(R$3=$AC14,0,R16+(-1*INDEX($R16:$Y16,0,MATCH($AC14,$R$3:$Y$3,0)))*INDEX($R15:$Y18,MATCH($AB20,$Q15:$Q18,0),MATCH(R$3,$R$3:$Y$3,0))/$AB21))</f>
        <v>0.5</v>
      </c>
      <c r="D26" s="42">
        <f ca="1">IF($B26=$AC14,IF(S$3=$AC14,S16/S16,S16/$AB21),IF(S$3=$AC14,0,S16+(-1*INDEX($R16:$Y16,0,MATCH($AC14,$R$3:$Y$3,0)))*INDEX($R15:$Y18,MATCH($AB20,$Q15:$Q18,0),MATCH(S$3,$R$3:$Y$3,0))/$AB21))</f>
        <v>-0.375</v>
      </c>
      <c r="E26" s="42">
        <f ca="1">IF($B26=$AC14,IF(T$3=$AC14,T16/T16,T16/$AB21),IF(T$3=$AC14,0,T16+(-1*INDEX($R16:$Y16,0,MATCH($AC14,$R$3:$Y$3,0)))*INDEX($R15:$Y18,MATCH($AB20,$Q15:$Q18,0),MATCH(T$3,$R$3:$Y$3,0))/$AB21))</f>
        <v>1</v>
      </c>
      <c r="F26" s="42">
        <f ca="1">IF($B26=$AC14,IF(U$3=$AC14,U16/U16,U16/$AB21),IF(U$3=$AC14,0,U16+(-1*INDEX($R16:$Y16,0,MATCH($AC14,$R$3:$Y$3,0)))*INDEX($R15:$Y18,MATCH($AB20,$Q15:$Q18,0),MATCH(U$3,$R$3:$Y$3,0))/$AB21))</f>
        <v>-0.125</v>
      </c>
      <c r="G26" s="42">
        <f ca="1">IF($B26=$AC14,IF(V$3=$AC14,V16/V16,V16/$AB21),IF(V$3=$AC14,0,V16+(-1*INDEX($R16:$Y16,0,MATCH($AC14,$R$3:$Y$3,0)))*INDEX($R15:$Y18,MATCH($AB20,$Q15:$Q18,0),MATCH(V$3,$R$3:$Y$3,0))/$AB21))</f>
        <v>0</v>
      </c>
      <c r="H26" s="42">
        <f ca="1">IF($B26=$AC14,IF(W$3=$AC14,W16/W16,W16/$AB21),IF(W$3=$AC14,0,W16+(-1*INDEX($R16:$Y16,0,MATCH($AC14,$R$3:$Y$3,0)))*INDEX($R15:$Y18,MATCH($AB20,$Q15:$Q18,0),MATCH(W$3,$R$3:$Y$3,0))/$AB21))</f>
        <v>0.125</v>
      </c>
      <c r="I26" s="42">
        <f ca="1">IF($B26=$AC14,IF(X$3=$AC14,X16/X16,X16/$AB21),IF(X$3=$AC14,0,X16+(-1*INDEX($R16:$Y16,0,MATCH($AC14,$R$3:$Y$3,0)))*INDEX($R15:$Y18,MATCH($AB20,$Q15:$Q18,0),MATCH(X$3,$R$3:$Y$3,0))/$AB21))</f>
        <v>-0.125</v>
      </c>
      <c r="J26" s="42">
        <f ca="1">IF($B26=$AC14,IF(Y$3=$AC14,Y16/Y16,Y16/$AB21),IF(Y$3=$AC14,0,Y16+(-1*INDEX($R16:$Y16,0,MATCH($AC14,$R$3:$Y$3,0)))*INDEX($R15:$Y18,MATCH($AB20,$Q15:$Q18,0),MATCH(Y$3,$R$3:$Y$3,0))/$AB21))</f>
        <v>1.5</v>
      </c>
      <c r="L26" s="34" t="e">
        <f ca="1">_xlfn.CONCAT(N26," = ",IF(INT(J26)=J26,J26,TEXT(J26,"??/??"))," ÷ ",IF(INT(INDEX(C26:I26,0,MATCH(N26,R$3:X$3,0)))=INDEX(C26:I26,0,MATCH(N26,R$3:X$3,0)),INDEX(C26:I26,0,MATCH(N26,R$3:X$3,0)),TEXT(INDEX(C26:I26,0,MATCH(N26,R$3:X$3,0)),"??/??"))," = ")</f>
        <v>#N/A</v>
      </c>
      <c r="M26" s="35" t="e">
        <f ca="1">IF(J26/INDEX(C26:I26,0,MATCH(N26,R$3:X$3,0))&lt;0,"Nao zera",J26/INDEX(C26:I26,0,MATCH(N26,R$3:X$3,0)))</f>
        <v>#N/A</v>
      </c>
      <c r="N26" s="25" t="str">
        <f ca="1">N24</f>
        <v xml:space="preserve"> </v>
      </c>
      <c r="Q26" t="str">
        <f ca="1">IF(Q16=AB20,AC14,Q16)</f>
        <v>x3</v>
      </c>
      <c r="R26" s="36">
        <f ca="1">IF($Q26=$AC14,IF(R$3=$AC14,R16/R16,R16/$AB21),IF(R$3=$AC14,0,R16+(-1*INDEX($R16:$Y16,0,MATCH($AC14,$R$3:$Y$3,0)))*INDEX($R15:$Y17,MATCH($AB20,$Q15:$Q17,0),MATCH(R$3,$R$3:$Y$3,0))/$AB21))</f>
        <v>0.5</v>
      </c>
      <c r="S26" s="36">
        <f t="shared" ref="S26:Y26" ca="1" si="9">IF($Q26=$AC14,IF(S$3=$AC14,S16/S16,S16/$AB21),IF(S$3=$AC14,0,S16+(-1*INDEX($R16:$Y16,0,MATCH($AC14,$R$3:$Y$3,0)))*INDEX($R15:$Y17,MATCH($AB20,$Q15:$Q17,0),MATCH(S$3,$R$3:$Y$3,0))/$AB21))</f>
        <v>-0.375</v>
      </c>
      <c r="T26" s="36">
        <f t="shared" ca="1" si="9"/>
        <v>1</v>
      </c>
      <c r="U26" s="36">
        <f t="shared" ca="1" si="9"/>
        <v>-0.125</v>
      </c>
      <c r="V26" s="36">
        <f t="shared" ca="1" si="9"/>
        <v>0</v>
      </c>
      <c r="W26" s="36">
        <f t="shared" ca="1" si="9"/>
        <v>0.125</v>
      </c>
      <c r="X26" s="36">
        <f t="shared" ca="1" si="9"/>
        <v>-0.125</v>
      </c>
      <c r="Y26" s="36">
        <f t="shared" ca="1" si="9"/>
        <v>1.5</v>
      </c>
      <c r="AA26" s="34" t="e">
        <f ca="1">_xlfn.CONCAT(AC26," = ",IF(INT(Y26)=Y26,Y26,TEXT(Y26,"??/??"))," ÷ ",IF(INT(INDEX(R26:X26,0,MATCH(AC26,R$3:X$3,0)))=INDEX(R26:X26,0,MATCH(AC26,R$3:X$3,0)),INDEX(R26:X26,0,MATCH(AC26,R$3:X$3,0)),TEXT(INDEX(R26:X26,0,MATCH(AC26,R$3:X$3,0)),"??/??"))," = ")</f>
        <v>#N/A</v>
      </c>
      <c r="AB26" s="35" t="e">
        <f ca="1">IF(Y26/INDEX(R26:X26,0,MATCH(AC26,R$3:X$3,0))&lt;0,"Nao zera",Y26/INDEX(R26:X26,0,MATCH(AC26,R$3:X$3,0)))</f>
        <v>#N/A</v>
      </c>
      <c r="AC26" s="25" t="str">
        <f ca="1">AC24</f>
        <v xml:space="preserve"> </v>
      </c>
    </row>
    <row r="27" spans="2:29" x14ac:dyDescent="0.25">
      <c r="B27" s="41" t="str">
        <f ca="1">IF(Q17=AB20,AC14,Q17)</f>
        <v>x5</v>
      </c>
      <c r="C27" s="42">
        <f ca="1">IF($B27=$AC14,IF(R$3=$AC14,R17/R17,R17/$AB21),IF(R$3=$AC14,0,R17+(-1*INDEX($R17:$Y17,0,MATCH($AC14,$R$3:$Y$3,0)))*INDEX($R15:$Y18,MATCH($AB20,$Q15:$Q18,0),MATCH(R$3,$R$3:$Y$3,0))/$AB21))</f>
        <v>-1.5</v>
      </c>
      <c r="D27" s="42">
        <f ca="1">IF($B27=$AC14,IF(S$3=$AC14,S17/S17,S17/$AB21),IF(S$3=$AC14,0,S17+(-1*INDEX($R17:$Y17,0,MATCH($AC14,$R$3:$Y$3,0)))*INDEX($R15:$Y18,MATCH($AB20,$Q15:$Q18,0),MATCH(S$3,$R$3:$Y$3,0))/$AB21))</f>
        <v>0.87500000000000011</v>
      </c>
      <c r="E27" s="42">
        <f ca="1">IF($B27=$AC14,IF(T$3=$AC14,T17/T17,T17/$AB21),IF(T$3=$AC14,0,T17+(-1*INDEX($R17:$Y17,0,MATCH($AC14,$R$3:$Y$3,0)))*INDEX($R15:$Y18,MATCH($AB20,$Q15:$Q18,0),MATCH(T$3,$R$3:$Y$3,0))/$AB21))</f>
        <v>0</v>
      </c>
      <c r="F27" s="42">
        <f ca="1">IF($B27=$AC14,IF(U$3=$AC14,U17/U17,U17/$AB21),IF(U$3=$AC14,0,U17+(-1*INDEX($R17:$Y17,0,MATCH($AC14,$R$3:$Y$3,0)))*INDEX($R15:$Y18,MATCH($AB20,$Q15:$Q18,0),MATCH(U$3,$R$3:$Y$3,0))/$AB21))</f>
        <v>-0.37499999999999989</v>
      </c>
      <c r="G27" s="42">
        <f ca="1">IF($B27=$AC14,IF(V$3=$AC14,V17/V17,V17/$AB21),IF(V$3=$AC14,0,V17+(-1*INDEX($R17:$Y17,0,MATCH($AC14,$R$3:$Y$3,0)))*INDEX($R15:$Y18,MATCH($AB20,$Q15:$Q18,0),MATCH(V$3,$R$3:$Y$3,0))/$AB21))</f>
        <v>1</v>
      </c>
      <c r="H27" s="42">
        <f ca="1">IF($B27=$AC14,IF(W$3=$AC14,W17/W17,W17/$AB21),IF(W$3=$AC14,0,W17+(-1*INDEX($R17:$Y17,0,MATCH($AC14,$R$3:$Y$3,0)))*INDEX($R15:$Y18,MATCH($AB20,$Q15:$Q18,0),MATCH(W$3,$R$3:$Y$3,0))/$AB21))</f>
        <v>-0.625</v>
      </c>
      <c r="I27" s="42">
        <f ca="1">IF($B27=$AC14,IF(X$3=$AC14,X17/X17,X17/$AB21),IF(X$3=$AC14,0,X17+(-1*INDEX($R17:$Y17,0,MATCH($AC14,$R$3:$Y$3,0)))*INDEX($R15:$Y18,MATCH($AB20,$Q15:$Q18,0),MATCH(X$3,$R$3:$Y$3,0))/$AB21))</f>
        <v>1.625</v>
      </c>
      <c r="J27" s="42">
        <f ca="1">IF($B27=$AC14,IF(Y$3=$AC14,Y17/Y17,Y17/$AB21),IF(Y$3=$AC14,0,Y17+(-1*INDEX($R17:$Y17,0,MATCH($AC14,$R$3:$Y$3,0)))*INDEX($R15:$Y18,MATCH($AB20,$Q15:$Q18,0),MATCH(Y$3,$R$3:$Y$3,0))/$AB21))</f>
        <v>0.49999999999999967</v>
      </c>
      <c r="L27" s="34" t="e">
        <f ca="1">_xlfn.CONCAT(N27," = ",IF(INT(J27)=J27,J27,TEXT(J27,"??/??"))," ÷ ",IF(INT(INDEX(C27:I27,0,MATCH(N27,R$3:X$3,0)))=INDEX(C27:I27,0,MATCH(N27,R$3:X$3,0)),INDEX(C27:I27,0,MATCH(N27,R$3:X$3,0)),TEXT(INDEX(C27:I27,0,MATCH(N27,R$3:X$3,0)),"??/??"))," = ")</f>
        <v>#N/A</v>
      </c>
      <c r="M27" s="35" t="e">
        <f ca="1">IF(J27/INDEX(C27:I27,0,MATCH(N27,R$3:X$3,0))&lt;0,"Nao zera",J27/INDEX(C27:I27,0,MATCH(N27,R$3:X$3,0)))</f>
        <v>#N/A</v>
      </c>
      <c r="N27" s="25" t="str">
        <f ca="1">N24</f>
        <v xml:space="preserve"> </v>
      </c>
      <c r="Q27" t="str">
        <f ca="1">IF(Q17=AB20,AC14,Q17)</f>
        <v>x5</v>
      </c>
      <c r="R27" s="36">
        <f ca="1">IF($Q27=$AC14,IF(R$3=$AC14,R17/R17,R17/$AB21),IF(R$3=$AC14,0,R17+(-1*INDEX($R17:$Y17,0,MATCH($AC14,$R$3:$Y$3,0)))*INDEX($R15:$Y17,MATCH($AB20,$Q15:$Q17,0),MATCH(R$3,$R$3:$Y$3,0))/$AB21))</f>
        <v>-1.5</v>
      </c>
      <c r="S27" s="36">
        <f t="shared" ref="S27:Y27" ca="1" si="10">IF($Q27=$AC14,IF(S$3=$AC14,S17/S17,S17/$AB21),IF(S$3=$AC14,0,S17+(-1*INDEX($R17:$Y17,0,MATCH($AC14,$R$3:$Y$3,0)))*INDEX($R15:$Y17,MATCH($AB20,$Q15:$Q17,0),MATCH(S$3,$R$3:$Y$3,0))/$AB21))</f>
        <v>0.87500000000000011</v>
      </c>
      <c r="T27" s="36">
        <f t="shared" ca="1" si="10"/>
        <v>0</v>
      </c>
      <c r="U27" s="36">
        <f t="shared" ca="1" si="10"/>
        <v>-0.37499999999999989</v>
      </c>
      <c r="V27" s="36">
        <f t="shared" ca="1" si="10"/>
        <v>1</v>
      </c>
      <c r="W27" s="36">
        <f t="shared" ca="1" si="10"/>
        <v>-0.625</v>
      </c>
      <c r="X27" s="36">
        <f t="shared" ca="1" si="10"/>
        <v>1.625</v>
      </c>
      <c r="Y27" s="36">
        <f t="shared" ca="1" si="10"/>
        <v>0.49999999999999967</v>
      </c>
      <c r="AA27" s="34" t="e">
        <f ca="1">_xlfn.CONCAT(AC27," = ",IF(INT(Y27)=Y27,Y27,TEXT(Y27,"??/??"))," ÷ ",IF(INT(INDEX(R27:X27,0,MATCH(AC27,R$3:X$3,0)))=INDEX(R27:X27,0,MATCH(AC27,R$3:X$3,0)),INDEX(R27:X27,0,MATCH(AC27,R$3:X$3,0)),TEXT(INDEX(R27:X27,0,MATCH(AC27,R$3:X$3,0)),"??/??"))," = ")</f>
        <v>#N/A</v>
      </c>
      <c r="AB27" s="35" t="e">
        <f ca="1">IF(Y27/INDEX(R27:X27,0,MATCH(AC27,R$3:X$3,0))&lt;0,"Nao zera",Y27/INDEX(R27:X27,0,MATCH(AC27,R$3:X$3,0)))</f>
        <v>#N/A</v>
      </c>
      <c r="AC27" s="25" t="str">
        <f ca="1">AC24</f>
        <v xml:space="preserve"> </v>
      </c>
    </row>
    <row r="28" spans="2:29" x14ac:dyDescent="0.25">
      <c r="B28" s="41">
        <f ca="1">IF(Q18=AB20,AC14,Q18)</f>
        <v>0</v>
      </c>
      <c r="C28" s="42">
        <f ca="1">IF($B28=$AC14,IF(R$3=$AC14,R18/R18,R18/$AB21),IF(R$3=$AC14,0,R18+(-1*INDEX($R18:$Y18,0,MATCH($AC14,$R$3:$Y$3,0)))*INDEX($R15:$Y18,MATCH($AB20,$Q15:$Q18,0),MATCH(R$3,$R$3:$Y$3,0))/$AB21))</f>
        <v>0</v>
      </c>
      <c r="D28" s="42">
        <f ca="1">IF($B28=$AC14,IF(S$3=$AC14,S18/S18,S18/$AB21),IF(S$3=$AC14,0,S18+(-1*INDEX($R18:$Y18,0,MATCH($AC14,$R$3:$Y$3,0)))*INDEX($R15:$Y18,MATCH($AB20,$Q15:$Q18,0),MATCH(S$3,$R$3:$Y$3,0))/$AB21))</f>
        <v>0</v>
      </c>
      <c r="E28" s="42">
        <f ca="1">IF($B28=$AC14,IF(T$3=$AC14,T18/T18,T18/$AB21),IF(T$3=$AC14,0,T18+(-1*INDEX($R18:$Y18,0,MATCH($AC14,$R$3:$Y$3,0)))*INDEX($R15:$Y18,MATCH($AB20,$Q15:$Q18,0),MATCH(T$3,$R$3:$Y$3,0))/$AB21))</f>
        <v>0</v>
      </c>
      <c r="F28" s="42">
        <f ca="1">IF($B28=$AC14,IF(U$3=$AC14,U18/U18,U18/$AB21),IF(U$3=$AC14,0,U18+(-1*INDEX($R18:$Y18,0,MATCH($AC14,$R$3:$Y$3,0)))*INDEX($R15:$Y18,MATCH($AB20,$Q15:$Q18,0),MATCH(U$3,$R$3:$Y$3,0))/$AB21))</f>
        <v>0</v>
      </c>
      <c r="G28" s="42">
        <f ca="1">IF($B28=$AC14,IF(V$3=$AC14,V18/V18,V18/$AB21),IF(V$3=$AC14,0,V18+(-1*INDEX($R18:$Y18,0,MATCH($AC14,$R$3:$Y$3,0)))*INDEX($R15:$Y18,MATCH($AB20,$Q15:$Q18,0),MATCH(V$3,$R$3:$Y$3,0))/$AB21))</f>
        <v>0</v>
      </c>
      <c r="H28" s="42">
        <f ca="1">IF($B28=$AC14,IF(W$3=$AC14,W18/W18,W18/$AB21),IF(W$3=$AC14,0,W18+(-1*INDEX($R18:$Y18,0,MATCH($AC14,$R$3:$Y$3,0)))*INDEX($R15:$Y18,MATCH($AB20,$Q15:$Q18,0),MATCH(W$3,$R$3:$Y$3,0))/$AB21))</f>
        <v>0</v>
      </c>
      <c r="I28" s="42">
        <f ca="1">IF($B28=$AC14,IF(X$3=$AC14,X18/X18,X18/$AB21),IF(X$3=$AC14,0,X18+(-1*INDEX($R18:$Y18,0,MATCH($AC14,$R$3:$Y$3,0)))*INDEX($R15:$Y18,MATCH($AB20,$Q15:$Q18,0),MATCH(X$3,$R$3:$Y$3,0))/$AB21))</f>
        <v>0</v>
      </c>
      <c r="J28" s="42">
        <f ca="1">IF($B28=$AC14,IF(Y$3=$AC14,Y18/Y18,Y18/$AB21),IF(Y$3=$AC14,0,Y18+(-1*INDEX($R18:$Y18,0,MATCH($AC14,$R$3:$Y$3,0)))*INDEX($R15:$Y18,MATCH($AB20,$Q15:$Q18,0),MATCH(Y$3,$R$3:$Y$3,0))/$AB21))</f>
        <v>0</v>
      </c>
      <c r="L28" s="34" t="e">
        <f ca="1">_xlfn.CONCAT(N28," = ",IF(INT(J28)=J28,J28,TEXT(J28,"??/??"))," ÷ ",IF(INT(INDEX(C28:I28,0,MATCH(N28,R$3:X$3,0)))=INDEX(C28:I28,0,MATCH(N28,R$3:X$3,0)),INDEX(C28:I28,0,MATCH(N28,R$3:X$3,0)),TEXT(INDEX(C28:I28,0,MATCH(N28,R$3:X$3,0)),"??/??"))," = ")</f>
        <v>#N/A</v>
      </c>
      <c r="M28" s="35" t="e">
        <f ca="1">IF(J28/INDEX(C28:I28,0,MATCH(N28,R$3:X$3,0))&lt;0,"Nao zera",J28/INDEX(C28:I28,0,MATCH(N28,R$3:X$3,0)))</f>
        <v>#N/A</v>
      </c>
      <c r="N28" s="25" t="str">
        <f ca="1">N24</f>
        <v xml:space="preserve"> </v>
      </c>
      <c r="AA28" s="34"/>
      <c r="AB28" s="35"/>
      <c r="AC28" s="25" t="str">
        <f ca="1">AC24</f>
        <v xml:space="preserve"> </v>
      </c>
    </row>
    <row r="29" spans="2:29" x14ac:dyDescent="0.25">
      <c r="L29" s="34"/>
      <c r="M29" s="34"/>
      <c r="N29" s="34"/>
      <c r="AA29" s="34"/>
      <c r="AB29" s="34"/>
      <c r="AC29" s="34"/>
    </row>
    <row r="30" spans="2:29" x14ac:dyDescent="0.25">
      <c r="L30" s="34" t="s">
        <v>37</v>
      </c>
      <c r="M30" s="35" t="e">
        <f ca="1">OFFSET(B26,MATCH(MIN(M26:M28),M26:M28,0)-1,0)</f>
        <v>#N/A</v>
      </c>
      <c r="N30" s="34"/>
      <c r="AA30" s="34" t="s">
        <v>37</v>
      </c>
      <c r="AB30" s="35" t="e">
        <f ca="1">OFFSET(Q26,MATCH(MIN(AB26:AB27),AB26:AB27,0)-1,0)</f>
        <v>#N/A</v>
      </c>
      <c r="AC30" s="34"/>
    </row>
    <row r="31" spans="2:29" x14ac:dyDescent="0.25">
      <c r="L31" s="34" t="s">
        <v>38</v>
      </c>
      <c r="M31" s="35" t="e">
        <f ca="1">INDEX(C26:I28,MATCH(M30,B26:B28,0),MATCH(N24,R$3:X$3,0))</f>
        <v>#N/A</v>
      </c>
      <c r="N31" s="34"/>
      <c r="AA31" s="34" t="s">
        <v>38</v>
      </c>
      <c r="AB31" s="35" t="e">
        <f ca="1">INDEX(R26:X27,MATCH(AB30,Q26:Q27,0),MATCH(AC24,R$3:X$3,0))</f>
        <v>#N/A</v>
      </c>
      <c r="AC31" s="34"/>
    </row>
  </sheetData>
  <conditionalFormatting sqref="AB6:AB8">
    <cfRule type="expression" dxfId="31" priority="57">
      <formula>MOD(AB6,1)=0</formula>
    </cfRule>
  </conditionalFormatting>
  <conditionalFormatting sqref="AB4 AB10:AB11 AB6:AB8">
    <cfRule type="cellIs" dxfId="30" priority="55" operator="equal">
      <formula>"Não"</formula>
    </cfRule>
    <cfRule type="cellIs" dxfId="29" priority="56" operator="equal">
      <formula>"Sim"</formula>
    </cfRule>
  </conditionalFormatting>
  <conditionalFormatting sqref="AB4 AB10:AB11 AB6:AB8">
    <cfRule type="cellIs" dxfId="28" priority="54" operator="equal">
      <formula>"Não"</formula>
    </cfRule>
  </conditionalFormatting>
  <conditionalFormatting sqref="AA4:AC4 AC9:AC10 AA10:AB11 AA6:AC8">
    <cfRule type="containsErrors" dxfId="27" priority="58">
      <formula>ISERROR(AA4)</formula>
    </cfRule>
  </conditionalFormatting>
  <conditionalFormatting sqref="C24:J28 R14:Y18 R24:Y27">
    <cfRule type="expression" dxfId="26" priority="52">
      <formula>MOD(C14,1)=0</formula>
    </cfRule>
  </conditionalFormatting>
  <conditionalFormatting sqref="M26:M28">
    <cfRule type="expression" dxfId="25" priority="35">
      <formula>MOD(M26,1)=0</formula>
    </cfRule>
  </conditionalFormatting>
  <conditionalFormatting sqref="M24 M30:M31 M26:M28">
    <cfRule type="cellIs" dxfId="24" priority="33" operator="equal">
      <formula>"Não"</formula>
    </cfRule>
    <cfRule type="cellIs" dxfId="23" priority="34" operator="equal">
      <formula>"Sim"</formula>
    </cfRule>
  </conditionalFormatting>
  <conditionalFormatting sqref="M24 M30:M31 M26:M28">
    <cfRule type="cellIs" dxfId="22" priority="32" operator="equal">
      <formula>"Não"</formula>
    </cfRule>
  </conditionalFormatting>
  <conditionalFormatting sqref="L24:N24 N29:N30 L30:M31 L26:N28">
    <cfRule type="containsErrors" dxfId="21" priority="36">
      <formula>ISERROR(L24)</formula>
    </cfRule>
  </conditionalFormatting>
  <conditionalFormatting sqref="M6:M8">
    <cfRule type="expression" dxfId="20" priority="25">
      <formula>MOD(M6,1)=0</formula>
    </cfRule>
  </conditionalFormatting>
  <conditionalFormatting sqref="M4 M10:M11 M6:M8">
    <cfRule type="cellIs" dxfId="19" priority="23" operator="equal">
      <formula>"Não"</formula>
    </cfRule>
    <cfRule type="cellIs" dxfId="18" priority="24" operator="equal">
      <formula>"Sim"</formula>
    </cfRule>
  </conditionalFormatting>
  <conditionalFormatting sqref="M4 M10:M11 M6:M8">
    <cfRule type="cellIs" dxfId="17" priority="22" operator="equal">
      <formula>"Não"</formula>
    </cfRule>
  </conditionalFormatting>
  <conditionalFormatting sqref="L4:N4 N9:N10 L10:M11 L6:N8">
    <cfRule type="containsErrors" dxfId="16" priority="26">
      <formula>ISERROR(L4)</formula>
    </cfRule>
  </conditionalFormatting>
  <conditionalFormatting sqref="C14:J18">
    <cfRule type="expression" dxfId="15" priority="21">
      <formula>MOD(C14,1)=0</formula>
    </cfRule>
  </conditionalFormatting>
  <conditionalFormatting sqref="M16:M18">
    <cfRule type="expression" dxfId="14" priority="19">
      <formula>MOD(M16,1)=0</formula>
    </cfRule>
  </conditionalFormatting>
  <conditionalFormatting sqref="M14 M20:M21 M16:M18">
    <cfRule type="cellIs" dxfId="13" priority="17" operator="equal">
      <formula>"Não"</formula>
    </cfRule>
    <cfRule type="cellIs" dxfId="12" priority="18" operator="equal">
      <formula>"Sim"</formula>
    </cfRule>
  </conditionalFormatting>
  <conditionalFormatting sqref="M14 M20:M21 M16:M18">
    <cfRule type="cellIs" dxfId="11" priority="16" operator="equal">
      <formula>"Não"</formula>
    </cfRule>
  </conditionalFormatting>
  <conditionalFormatting sqref="L14:N14 N19:N20 L20:M21 L16:N18">
    <cfRule type="containsErrors" dxfId="10" priority="20">
      <formula>ISERROR(L14)</formula>
    </cfRule>
  </conditionalFormatting>
  <conditionalFormatting sqref="AB16:AB18">
    <cfRule type="expression" dxfId="9" priority="9">
      <formula>MOD(AB16,1)=0</formula>
    </cfRule>
  </conditionalFormatting>
  <conditionalFormatting sqref="AB14 AB20:AB21 AB16:AB18">
    <cfRule type="cellIs" dxfId="8" priority="7" operator="equal">
      <formula>"Não"</formula>
    </cfRule>
    <cfRule type="cellIs" dxfId="7" priority="8" operator="equal">
      <formula>"Sim"</formula>
    </cfRule>
  </conditionalFormatting>
  <conditionalFormatting sqref="AB14 AB20:AB21 AB16:AB18">
    <cfRule type="cellIs" dxfId="6" priority="6" operator="equal">
      <formula>"Não"</formula>
    </cfRule>
  </conditionalFormatting>
  <conditionalFormatting sqref="AA14:AC14 AC19:AC20 AA20:AB21 AA16:AC18">
    <cfRule type="containsErrors" dxfId="5" priority="10">
      <formula>ISERROR(AA14)</formula>
    </cfRule>
  </conditionalFormatting>
  <conditionalFormatting sqref="AB26:AB28">
    <cfRule type="expression" dxfId="4" priority="4">
      <formula>MOD(AB26,1)=0</formula>
    </cfRule>
  </conditionalFormatting>
  <conditionalFormatting sqref="AB24 AB30:AB31 AB26:AB28">
    <cfRule type="cellIs" dxfId="3" priority="2" operator="equal">
      <formula>"Não"</formula>
    </cfRule>
    <cfRule type="cellIs" dxfId="2" priority="3" operator="equal">
      <formula>"Sim"</formula>
    </cfRule>
  </conditionalFormatting>
  <conditionalFormatting sqref="AB24 AB30:AB31 AB26:AB28">
    <cfRule type="cellIs" dxfId="1" priority="1" operator="equal">
      <formula>"Não"</formula>
    </cfRule>
  </conditionalFormatting>
  <conditionalFormatting sqref="AA24:AC24 AC29:AC30 AA30:AB31 AA26:AC28">
    <cfRule type="containsErrors" dxfId="0" priority="5">
      <formula>ISERROR(AA24)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4E5A7-AC67-4D1B-BB39-3B27DCF4592F}">
  <sheetPr codeName="Sheet8"/>
  <dimension ref="B3:M18"/>
  <sheetViews>
    <sheetView workbookViewId="0">
      <selection activeCell="K17" sqref="K17"/>
    </sheetView>
  </sheetViews>
  <sheetFormatPr defaultRowHeight="15" x14ac:dyDescent="0.25"/>
  <cols>
    <col min="3" max="3" width="7.28515625" bestFit="1" customWidth="1"/>
    <col min="4" max="4" width="10.5703125" bestFit="1" customWidth="1"/>
    <col min="6" max="6" width="9.85546875" bestFit="1" customWidth="1"/>
    <col min="8" max="10" width="10.5703125" bestFit="1" customWidth="1"/>
    <col min="12" max="12" width="20.42578125" bestFit="1" customWidth="1"/>
    <col min="13" max="13" width="9.85546875" bestFit="1" customWidth="1"/>
  </cols>
  <sheetData>
    <row r="3" spans="2:13" x14ac:dyDescent="0.25">
      <c r="B3" s="32"/>
      <c r="C3" s="32" t="s">
        <v>29</v>
      </c>
      <c r="D3" s="32" t="s">
        <v>30</v>
      </c>
      <c r="E3" s="32" t="s">
        <v>31</v>
      </c>
      <c r="F3" s="32" t="s">
        <v>32</v>
      </c>
      <c r="G3" s="32" t="s">
        <v>33</v>
      </c>
      <c r="H3" s="32" t="s">
        <v>45</v>
      </c>
      <c r="I3" s="32" t="s">
        <v>46</v>
      </c>
      <c r="J3" s="32" t="s">
        <v>53</v>
      </c>
    </row>
    <row r="4" spans="2:13" x14ac:dyDescent="0.25">
      <c r="B4" s="39" t="s">
        <v>51</v>
      </c>
      <c r="C4" s="38">
        <v>0</v>
      </c>
      <c r="D4" s="38">
        <v>-6.666666666666667</v>
      </c>
      <c r="E4" s="38">
        <v>0</v>
      </c>
      <c r="F4" s="38">
        <v>0</v>
      </c>
      <c r="G4" s="38">
        <v>-3</v>
      </c>
      <c r="H4" s="38">
        <v>1.6666666666666667</v>
      </c>
      <c r="I4" s="38">
        <v>-0.66666666666666674</v>
      </c>
      <c r="J4" s="38">
        <v>-43.333333333333336</v>
      </c>
    </row>
    <row r="5" spans="2:13" x14ac:dyDescent="0.25">
      <c r="B5" s="39" t="s">
        <v>52</v>
      </c>
      <c r="C5" s="38">
        <v>0</v>
      </c>
      <c r="D5" s="38">
        <v>0.66666666666666607</v>
      </c>
      <c r="E5" s="38">
        <v>0</v>
      </c>
      <c r="F5" s="38">
        <v>0</v>
      </c>
      <c r="G5" s="38">
        <v>3</v>
      </c>
      <c r="H5" s="38">
        <v>0.33333333333333326</v>
      </c>
      <c r="I5" s="38">
        <v>-0.33333333333333326</v>
      </c>
      <c r="J5" s="38">
        <v>25.333333333333336</v>
      </c>
    </row>
    <row r="6" spans="2:13" x14ac:dyDescent="0.25">
      <c r="B6" s="44" t="s">
        <v>29</v>
      </c>
      <c r="C6" s="42">
        <v>1</v>
      </c>
      <c r="D6" s="42">
        <v>-3.666666666666667</v>
      </c>
      <c r="E6" s="42">
        <v>0</v>
      </c>
      <c r="F6" s="42">
        <v>0</v>
      </c>
      <c r="G6" s="42">
        <v>-1</v>
      </c>
      <c r="H6" s="42">
        <v>0.66666666666666674</v>
      </c>
      <c r="I6" s="42">
        <v>-0.66666666666666674</v>
      </c>
      <c r="J6" s="42">
        <v>-12.333333333333334</v>
      </c>
    </row>
    <row r="7" spans="2:13" x14ac:dyDescent="0.25">
      <c r="B7" s="44" t="s">
        <v>32</v>
      </c>
      <c r="C7" s="42">
        <v>0</v>
      </c>
      <c r="D7" s="42">
        <v>6.666666666666667</v>
      </c>
      <c r="E7" s="42">
        <v>0</v>
      </c>
      <c r="F7" s="42">
        <v>1</v>
      </c>
      <c r="G7" s="42">
        <v>3</v>
      </c>
      <c r="H7" s="42">
        <v>-1.6666666666666667</v>
      </c>
      <c r="I7" s="42">
        <v>1.6666666666666667</v>
      </c>
      <c r="J7" s="42">
        <v>43.333333333333336</v>
      </c>
    </row>
    <row r="8" spans="2:13" x14ac:dyDescent="0.25">
      <c r="B8" s="44" t="s">
        <v>31</v>
      </c>
      <c r="C8" s="42">
        <v>0</v>
      </c>
      <c r="D8" s="42">
        <v>-2.3333333333333335</v>
      </c>
      <c r="E8" s="42">
        <v>1</v>
      </c>
      <c r="F8" s="42">
        <v>0</v>
      </c>
      <c r="G8" s="42">
        <v>-1</v>
      </c>
      <c r="H8" s="42">
        <v>0.33333333333333337</v>
      </c>
      <c r="I8" s="42">
        <v>-0.33333333333333337</v>
      </c>
      <c r="J8" s="42">
        <v>-10.666666666666668</v>
      </c>
    </row>
    <row r="9" spans="2:13" x14ac:dyDescent="0.25">
      <c r="L9" t="s">
        <v>56</v>
      </c>
      <c r="M9" t="s">
        <v>33</v>
      </c>
    </row>
    <row r="10" spans="2:13" x14ac:dyDescent="0.25">
      <c r="L10" t="s">
        <v>57</v>
      </c>
      <c r="M10" t="s">
        <v>32</v>
      </c>
    </row>
    <row r="11" spans="2:13" x14ac:dyDescent="0.25">
      <c r="L11" t="s">
        <v>38</v>
      </c>
      <c r="M11" s="36">
        <f>INDEX(C6:I8,MATCH(M10,B6:B8,0),MATCH(M9,C$3:I$3,0))</f>
        <v>3</v>
      </c>
    </row>
    <row r="13" spans="2:13" x14ac:dyDescent="0.25">
      <c r="B13" s="32"/>
      <c r="C13" s="32" t="str">
        <f>C3</f>
        <v>x1</v>
      </c>
      <c r="D13" s="32" t="str">
        <f t="shared" ref="D13:J13" si="0">D3</f>
        <v>x2</v>
      </c>
      <c r="E13" s="32" t="str">
        <f t="shared" si="0"/>
        <v>x3</v>
      </c>
      <c r="F13" s="32" t="str">
        <f t="shared" si="0"/>
        <v>x4</v>
      </c>
      <c r="G13" s="32" t="str">
        <f t="shared" si="0"/>
        <v>x5</v>
      </c>
      <c r="H13" s="32" t="str">
        <f t="shared" si="0"/>
        <v>x6</v>
      </c>
      <c r="I13" s="32" t="str">
        <f t="shared" si="0"/>
        <v>x7</v>
      </c>
      <c r="J13" s="32" t="str">
        <f t="shared" si="0"/>
        <v>z0</v>
      </c>
    </row>
    <row r="14" spans="2:13" x14ac:dyDescent="0.25">
      <c r="B14" s="39" t="str">
        <f>B4</f>
        <v>-w</v>
      </c>
      <c r="C14" s="38">
        <f>IF($B14=$M9,IF(C$3=$M9,C4/C4,C4/$M11),IF(C$3=$M9,0,C4+(-1*INDEX($C4:$J4,0,MATCH($M9,$C$3:$J$3,0)))*INDEX($C5:$J8,MATCH($M10,$B5:$B8,0),MATCH(C$3,$C$3:$J$3,0))/$M11))</f>
        <v>0</v>
      </c>
      <c r="D14" s="38">
        <f t="shared" ref="D14:J14" si="1">IF($B14=$M9,IF(D$3=$M9,D4/D4,D4/$M11),IF(D$3=$M9,0,D4+(-1*INDEX($C4:$J4,0,MATCH($M9,$C$3:$J$3,0)))*INDEX($C5:$J8,MATCH($M10,$B5:$B8,0),MATCH(D$3,$C$3:$J$3,0))/$M11))</f>
        <v>0</v>
      </c>
      <c r="E14" s="38">
        <f t="shared" si="1"/>
        <v>0</v>
      </c>
      <c r="F14" s="38">
        <f t="shared" si="1"/>
        <v>1</v>
      </c>
      <c r="G14" s="38">
        <f t="shared" si="1"/>
        <v>0</v>
      </c>
      <c r="H14" s="38">
        <f t="shared" si="1"/>
        <v>0</v>
      </c>
      <c r="I14" s="38">
        <f t="shared" si="1"/>
        <v>1</v>
      </c>
      <c r="J14" s="38">
        <f t="shared" si="1"/>
        <v>0</v>
      </c>
    </row>
    <row r="15" spans="2:13" x14ac:dyDescent="0.25">
      <c r="B15" s="39" t="str">
        <f>B5</f>
        <v>-z'</v>
      </c>
      <c r="C15" s="38">
        <f>IF($B15=$M9,IF(C$3=$M9,C5/C5,C5/$M11),IF(C$3=$M9,0,C5+(-1*INDEX($C5:$J5,0,MATCH($M9,$C$3:$J$3,0)))*INDEX($C5:$J8,MATCH($M10,$B5:$B8,0),MATCH(C$3,$C$3:$J$3,0))/$M11))</f>
        <v>0</v>
      </c>
      <c r="D15" s="38">
        <f t="shared" ref="D15:J15" si="2">IF($B15=$M9,IF(D$3=$M9,D5/D5,D5/$M11),IF(D$3=$M9,0,D5+(-1*INDEX($C5:$J5,0,MATCH($M9,$C$3:$J$3,0)))*INDEX($C5:$J8,MATCH($M10,$B5:$B8,0),MATCH(D$3,$C$3:$J$3,0))/$M11))</f>
        <v>-6.0000000000000009</v>
      </c>
      <c r="E15" s="38">
        <f t="shared" si="2"/>
        <v>0</v>
      </c>
      <c r="F15" s="38">
        <f t="shared" si="2"/>
        <v>-1</v>
      </c>
      <c r="G15" s="38">
        <f t="shared" si="2"/>
        <v>0</v>
      </c>
      <c r="H15" s="38">
        <f t="shared" si="2"/>
        <v>2</v>
      </c>
      <c r="I15" s="38">
        <f t="shared" si="2"/>
        <v>-2</v>
      </c>
      <c r="J15" s="38">
        <f t="shared" si="2"/>
        <v>-18</v>
      </c>
    </row>
    <row r="16" spans="2:13" x14ac:dyDescent="0.25">
      <c r="B16" s="41" t="str">
        <f>IF(B6=M10,M9,B6)</f>
        <v>x1</v>
      </c>
      <c r="C16" s="42">
        <f>IF($B16=$M9,IF(C$3=$M9,C6/C6,C6/$M11),IF(C$3=$M9,0,C6+(-1*INDEX($C6:$J6,0,MATCH($M9,$C$3:$J$3,0)))*INDEX($C5:$J8,MATCH($M10,$B5:$B8,0),MATCH(C$3,$C$3:$J$3,0))/$M11))</f>
        <v>1</v>
      </c>
      <c r="D16" s="42">
        <f t="shared" ref="D16:J16" si="3">IF($B16=$M9,IF(D$3=$M9,D6/D6,D6/$M11),IF(D$3=$M9,0,D6+(-1*INDEX($C6:$J6,0,MATCH($M9,$C$3:$J$3,0)))*INDEX($C5:$J8,MATCH($M10,$B5:$B8,0),MATCH(D$3,$C$3:$J$3,0))/$M11))</f>
        <v>-1.4444444444444446</v>
      </c>
      <c r="E16" s="42">
        <f t="shared" si="3"/>
        <v>0</v>
      </c>
      <c r="F16" s="42">
        <f t="shared" si="3"/>
        <v>0.33333333333333331</v>
      </c>
      <c r="G16" s="42">
        <f t="shared" si="3"/>
        <v>0</v>
      </c>
      <c r="H16" s="42">
        <f t="shared" si="3"/>
        <v>0.11111111111111116</v>
      </c>
      <c r="I16" s="42">
        <f t="shared" si="3"/>
        <v>-0.11111111111111116</v>
      </c>
      <c r="J16" s="42">
        <f t="shared" si="3"/>
        <v>2.1111111111111107</v>
      </c>
    </row>
    <row r="17" spans="2:10" x14ac:dyDescent="0.25">
      <c r="B17" s="41" t="str">
        <f>IF(B7=M10,M9,B7)</f>
        <v>x5</v>
      </c>
      <c r="C17" s="42">
        <f>IF($B17=$M9,IF(C$3=$M9,C7/C7,C7/$M11),IF(C$3=$M9,0,C7+(-1*INDEX($C7:$J7,0,MATCH($M9,$C$3:$J$3,0)))*INDEX($C5:$J8,MATCH($M10,$B5:$B8,0),MATCH(C$3,$C$3:$J$3,0))/$M11))</f>
        <v>0</v>
      </c>
      <c r="D17" s="42">
        <f t="shared" ref="D17:J17" si="4">IF($B17=$M9,IF(D$3=$M9,D7/D7,D7/$M11),IF(D$3=$M9,0,D7+(-1*INDEX($C7:$J7,0,MATCH($M9,$C$3:$J$3,0)))*INDEX($C5:$J8,MATCH($M10,$B5:$B8,0),MATCH(D$3,$C$3:$J$3,0))/$M11))</f>
        <v>2.2222222222222223</v>
      </c>
      <c r="E17" s="42">
        <f t="shared" si="4"/>
        <v>0</v>
      </c>
      <c r="F17" s="42">
        <f t="shared" si="4"/>
        <v>0.33333333333333331</v>
      </c>
      <c r="G17" s="42">
        <f t="shared" si="4"/>
        <v>1</v>
      </c>
      <c r="H17" s="42">
        <f t="shared" si="4"/>
        <v>-0.55555555555555558</v>
      </c>
      <c r="I17" s="42">
        <f t="shared" si="4"/>
        <v>0.55555555555555558</v>
      </c>
      <c r="J17" s="42">
        <f t="shared" si="4"/>
        <v>14.444444444444445</v>
      </c>
    </row>
    <row r="18" spans="2:10" x14ac:dyDescent="0.25">
      <c r="B18" s="41" t="str">
        <f>IF(B8=M10,M9,B8)</f>
        <v>x3</v>
      </c>
      <c r="C18" s="42">
        <f>IF($B18=$M9,IF(C$3=$M9,C8/C8,C8/$M11),IF(C$3=$M9,0,C8+(-1*INDEX($C8:$J8,0,MATCH($M9,$C$3:$J$3,0)))*INDEX($C5:$J8,MATCH($M10,$B5:$B8,0),MATCH(C$3,$C$3:$J$3,0))/$M11))</f>
        <v>0</v>
      </c>
      <c r="D18" s="42">
        <f t="shared" ref="D18:J18" si="5">IF($B18=$M9,IF(D$3=$M9,D8/D8,D8/$M11),IF(D$3=$M9,0,D8+(-1*INDEX($C8:$J8,0,MATCH($M9,$C$3:$J$3,0)))*INDEX($C5:$J8,MATCH($M10,$B5:$B8,0),MATCH(D$3,$C$3:$J$3,0))/$M11))</f>
        <v>-0.11111111111111116</v>
      </c>
      <c r="E18" s="42">
        <f t="shared" si="5"/>
        <v>1</v>
      </c>
      <c r="F18" s="42">
        <f t="shared" si="5"/>
        <v>0.33333333333333331</v>
      </c>
      <c r="G18" s="42">
        <f t="shared" si="5"/>
        <v>0</v>
      </c>
      <c r="H18" s="42">
        <f t="shared" si="5"/>
        <v>-0.22222222222222221</v>
      </c>
      <c r="I18" s="42">
        <f t="shared" si="5"/>
        <v>0.22222222222222221</v>
      </c>
      <c r="J18" s="42">
        <f t="shared" si="5"/>
        <v>3.7777777777777768</v>
      </c>
    </row>
  </sheetData>
  <conditionalFormatting sqref="C4:J8">
    <cfRule type="expression" dxfId="250" priority="2">
      <formula>MOD(C4,1)=0</formula>
    </cfRule>
  </conditionalFormatting>
  <conditionalFormatting sqref="C14:J18">
    <cfRule type="expression" dxfId="249" priority="1">
      <formula>MOD(C14,1)=0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5F297-54AB-4A23-9657-98FBB7CF0ABC}">
  <sheetPr codeName="Sheet2"/>
  <dimension ref="A1:CG64"/>
  <sheetViews>
    <sheetView zoomScale="70" zoomScaleNormal="70" workbookViewId="0">
      <selection activeCell="C4" sqref="C4"/>
    </sheetView>
  </sheetViews>
  <sheetFormatPr defaultRowHeight="15" x14ac:dyDescent="0.25"/>
  <cols>
    <col min="8" max="8" width="9.85546875" bestFit="1" customWidth="1"/>
    <col min="10" max="10" width="31.7109375" bestFit="1" customWidth="1"/>
    <col min="13" max="13" width="9.140625" style="29"/>
    <col min="24" max="24" width="31.7109375" bestFit="1" customWidth="1"/>
    <col min="27" max="27" width="9.140625" style="29"/>
    <col min="35" max="35" width="12" bestFit="1" customWidth="1"/>
    <col min="37" max="37" width="12.28515625" bestFit="1" customWidth="1"/>
    <col min="39" max="39" width="31.7109375" bestFit="1" customWidth="1"/>
    <col min="40" max="40" width="12.28515625" bestFit="1" customWidth="1"/>
    <col min="42" max="42" width="9.140625" style="29"/>
    <col min="45" max="45" width="9.85546875" bestFit="1" customWidth="1"/>
    <col min="46" max="47" width="10.7109375" bestFit="1" customWidth="1"/>
    <col min="48" max="48" width="9.85546875" bestFit="1" customWidth="1"/>
    <col min="49" max="49" width="10.5703125" bestFit="1" customWidth="1"/>
    <col min="50" max="50" width="10.7109375" bestFit="1" customWidth="1"/>
    <col min="51" max="51" width="9.85546875" bestFit="1" customWidth="1"/>
    <col min="53" max="53" width="31.7109375" bestFit="1" customWidth="1"/>
    <col min="54" max="54" width="9.85546875" bestFit="1" customWidth="1"/>
    <col min="57" max="57" width="9.140625" style="29"/>
    <col min="60" max="60" width="10" bestFit="1" customWidth="1"/>
    <col min="61" max="62" width="10.7109375" bestFit="1" customWidth="1"/>
    <col min="63" max="63" width="10" bestFit="1" customWidth="1"/>
    <col min="64" max="64" width="10.7109375" bestFit="1" customWidth="1"/>
    <col min="65" max="65" width="10.85546875" bestFit="1" customWidth="1"/>
    <col min="67" max="67" width="32.85546875" bestFit="1" customWidth="1"/>
    <col min="68" max="68" width="9.5703125" bestFit="1" customWidth="1"/>
    <col min="70" max="70" width="9.140625" style="29"/>
    <col min="73" max="73" width="10.28515625" bestFit="1" customWidth="1"/>
    <col min="74" max="74" width="10.85546875" bestFit="1" customWidth="1"/>
    <col min="75" max="75" width="12.140625" bestFit="1" customWidth="1"/>
    <col min="76" max="76" width="12.85546875" bestFit="1" customWidth="1"/>
    <col min="77" max="78" width="10.28515625" bestFit="1" customWidth="1"/>
    <col min="79" max="79" width="10.5703125" bestFit="1" customWidth="1"/>
    <col min="80" max="80" width="10.85546875" bestFit="1" customWidth="1"/>
    <col min="81" max="81" width="12.85546875" bestFit="1" customWidth="1"/>
    <col min="83" max="83" width="31.7109375" bestFit="1" customWidth="1"/>
    <col min="84" max="84" width="11.28515625" bestFit="1" customWidth="1"/>
  </cols>
  <sheetData>
    <row r="1" spans="1:85" x14ac:dyDescent="0.25">
      <c r="A1" t="s">
        <v>58</v>
      </c>
      <c r="J1" t="s">
        <v>65</v>
      </c>
      <c r="N1" t="s">
        <v>59</v>
      </c>
      <c r="AB1" t="s">
        <v>60</v>
      </c>
      <c r="AQ1" t="s">
        <v>61</v>
      </c>
      <c r="BF1" t="s">
        <v>62</v>
      </c>
      <c r="BS1" t="s">
        <v>63</v>
      </c>
    </row>
    <row r="2" spans="1:85" x14ac:dyDescent="0.25">
      <c r="B2" s="46" t="s">
        <v>39</v>
      </c>
      <c r="C2" s="46"/>
      <c r="D2" s="46"/>
      <c r="E2" s="46"/>
      <c r="F2" s="46"/>
      <c r="G2" s="46"/>
      <c r="H2" s="46"/>
    </row>
    <row r="3" spans="1:85" x14ac:dyDescent="0.25">
      <c r="B3" s="26"/>
      <c r="C3" s="26" t="s">
        <v>29</v>
      </c>
      <c r="D3" s="26" t="s">
        <v>30</v>
      </c>
      <c r="E3" s="26" t="s">
        <v>31</v>
      </c>
      <c r="F3" s="26" t="s">
        <v>32</v>
      </c>
      <c r="G3" s="26" t="s">
        <v>33</v>
      </c>
      <c r="H3" s="27" t="s">
        <v>34</v>
      </c>
      <c r="O3" s="32"/>
      <c r="P3" s="32" t="s">
        <v>29</v>
      </c>
      <c r="Q3" s="32" t="s">
        <v>30</v>
      </c>
      <c r="R3" s="32" t="s">
        <v>31</v>
      </c>
      <c r="S3" s="32" t="s">
        <v>32</v>
      </c>
      <c r="T3" s="32" t="s">
        <v>33</v>
      </c>
      <c r="U3" s="32" t="s">
        <v>45</v>
      </c>
      <c r="V3" s="32" t="s">
        <v>34</v>
      </c>
      <c r="AC3" s="32"/>
      <c r="AD3" s="32" t="s">
        <v>29</v>
      </c>
      <c r="AE3" s="32" t="s">
        <v>30</v>
      </c>
      <c r="AF3" s="32" t="s">
        <v>31</v>
      </c>
      <c r="AG3" s="32" t="s">
        <v>32</v>
      </c>
      <c r="AH3" s="32" t="s">
        <v>33</v>
      </c>
      <c r="AI3" s="32" t="s">
        <v>45</v>
      </c>
      <c r="AJ3" s="32" t="s">
        <v>46</v>
      </c>
      <c r="AK3" s="32" t="s">
        <v>34</v>
      </c>
      <c r="AL3" s="34"/>
      <c r="AM3" s="34"/>
      <c r="AN3" s="34"/>
      <c r="AO3" s="34"/>
      <c r="AR3" s="32"/>
      <c r="AS3" s="32" t="s">
        <v>29</v>
      </c>
      <c r="AT3" s="32" t="s">
        <v>30</v>
      </c>
      <c r="AU3" s="32" t="s">
        <v>31</v>
      </c>
      <c r="AV3" s="32" t="s">
        <v>32</v>
      </c>
      <c r="AW3" s="32" t="s">
        <v>33</v>
      </c>
      <c r="AX3" s="32" t="s">
        <v>45</v>
      </c>
      <c r="AY3" s="32" t="s">
        <v>34</v>
      </c>
      <c r="AZ3" s="34"/>
      <c r="BA3" s="34"/>
      <c r="BB3" s="34"/>
      <c r="BC3" s="34"/>
      <c r="BG3" s="32"/>
      <c r="BH3" s="32" t="s">
        <v>29</v>
      </c>
      <c r="BI3" s="32" t="s">
        <v>30</v>
      </c>
      <c r="BJ3" s="32" t="s">
        <v>31</v>
      </c>
      <c r="BK3" s="32" t="s">
        <v>32</v>
      </c>
      <c r="BL3" s="32" t="s">
        <v>33</v>
      </c>
      <c r="BM3" s="32" t="s">
        <v>34</v>
      </c>
      <c r="BO3" s="34"/>
      <c r="BP3" s="34"/>
      <c r="BQ3" s="34"/>
      <c r="BT3" s="32"/>
      <c r="BU3" s="32" t="s">
        <v>29</v>
      </c>
      <c r="BV3" s="32" t="s">
        <v>30</v>
      </c>
      <c r="BW3" s="32" t="s">
        <v>31</v>
      </c>
      <c r="BX3" s="32" t="s">
        <v>32</v>
      </c>
      <c r="BY3" s="32" t="s">
        <v>33</v>
      </c>
      <c r="BZ3" s="32" t="s">
        <v>45</v>
      </c>
      <c r="CA3" s="32" t="s">
        <v>46</v>
      </c>
      <c r="CB3" s="32" t="s">
        <v>64</v>
      </c>
      <c r="CC3" s="32" t="s">
        <v>34</v>
      </c>
    </row>
    <row r="4" spans="1:85" x14ac:dyDescent="0.25">
      <c r="B4" s="27" t="s">
        <v>35</v>
      </c>
      <c r="C4" s="28">
        <f>-7/8</f>
        <v>-0.875</v>
      </c>
      <c r="D4" s="28">
        <f>-1/2</f>
        <v>-0.5</v>
      </c>
      <c r="E4" s="28">
        <f>0</f>
        <v>0</v>
      </c>
      <c r="F4" s="28">
        <f>0</f>
        <v>0</v>
      </c>
      <c r="G4" s="28">
        <v>0</v>
      </c>
      <c r="H4" s="28">
        <v>-15</v>
      </c>
      <c r="J4" t="s">
        <v>36</v>
      </c>
      <c r="K4" t="str">
        <f t="array" ref="K4">IF(MIN(IF(C4:G4&gt;=0,1,-1))=1,"Não","Sim")</f>
        <v>Sim</v>
      </c>
      <c r="L4" t="str">
        <f>IF(K4="Sim",INDEX(C3:G3,0,MATCH(MIN(C4:G4),C4:G4,0))," ")</f>
        <v>x1</v>
      </c>
      <c r="O4" s="32" t="s">
        <v>35</v>
      </c>
      <c r="P4" s="33">
        <f>5/6</f>
        <v>0.83333333333333337</v>
      </c>
      <c r="Q4" s="33">
        <f>-7/8</f>
        <v>-0.875</v>
      </c>
      <c r="R4" s="33">
        <f>-1/2</f>
        <v>-0.5</v>
      </c>
      <c r="S4" s="33">
        <f>0</f>
        <v>0</v>
      </c>
      <c r="T4" s="33">
        <f>0</f>
        <v>0</v>
      </c>
      <c r="U4" s="33">
        <v>0</v>
      </c>
      <c r="V4" s="33">
        <v>-15</v>
      </c>
      <c r="X4" t="s">
        <v>36</v>
      </c>
      <c r="Y4" t="str">
        <f t="array" ref="Y4">IF(MIN(IF(P4:U4&gt;=0,1,-1))=1,"Não","Sim")</f>
        <v>Sim</v>
      </c>
      <c r="Z4" t="str">
        <f>IF(Y4="Sim",INDEX(P3:U3,0,MATCH(MIN(P4:U4),P4:U4,0))," ")</f>
        <v>x2</v>
      </c>
      <c r="AC4" s="32" t="s">
        <v>35</v>
      </c>
      <c r="AD4" s="33">
        <v>-5</v>
      </c>
      <c r="AE4" s="33">
        <v>-4</v>
      </c>
      <c r="AF4" s="33">
        <v>-8</v>
      </c>
      <c r="AG4" s="33">
        <v>-6</v>
      </c>
      <c r="AH4" s="33">
        <f>0</f>
        <v>0</v>
      </c>
      <c r="AI4" s="33">
        <v>0</v>
      </c>
      <c r="AJ4" s="33">
        <v>0</v>
      </c>
      <c r="AK4" s="33">
        <v>0</v>
      </c>
      <c r="AL4" s="34"/>
      <c r="AM4" s="34" t="s">
        <v>36</v>
      </c>
      <c r="AN4" s="34" t="str">
        <f t="array" ref="AN4">IF(MIN(IF(AD4:AJ4&gt;=0,1,-1))=1,"Não","Sim")</f>
        <v>Sim</v>
      </c>
      <c r="AO4" s="34" t="str">
        <f>IF(AN4="Sim",INDEX(AD3:AJ3,0,MATCH(MIN(AD4:AJ4),AD4:AJ4,0))," ")</f>
        <v>x3</v>
      </c>
      <c r="AR4" s="32" t="s">
        <v>35</v>
      </c>
      <c r="AS4" s="33">
        <v>0</v>
      </c>
      <c r="AT4" s="33">
        <v>0</v>
      </c>
      <c r="AU4" s="33">
        <v>2</v>
      </c>
      <c r="AV4" s="33">
        <v>-2</v>
      </c>
      <c r="AW4" s="33">
        <v>0.24</v>
      </c>
      <c r="AX4" s="33">
        <v>1.44</v>
      </c>
      <c r="AY4" s="33">
        <v>1866.6666666666667</v>
      </c>
      <c r="AZ4" s="34"/>
      <c r="BA4" s="34" t="s">
        <v>36</v>
      </c>
      <c r="BB4" s="34" t="str">
        <f t="array" ref="BB4">IF(MIN(IF(AS4:AX4&gt;=0,1,-1))=1,"Não","Sim")</f>
        <v>Sim</v>
      </c>
      <c r="BC4" s="34" t="str">
        <f>IF(BB4="Sim",INDEX(AS3:AX3,0,MATCH(MIN(AS4:AX4),AS4:AX4,0))," ")</f>
        <v>x4</v>
      </c>
      <c r="BG4" s="32" t="s">
        <v>35</v>
      </c>
      <c r="BH4" s="33">
        <v>-36</v>
      </c>
      <c r="BI4" s="33">
        <v>-18</v>
      </c>
      <c r="BJ4" s="33">
        <v>-24</v>
      </c>
      <c r="BK4" s="33">
        <v>0</v>
      </c>
      <c r="BL4" s="33">
        <v>0</v>
      </c>
      <c r="BM4" s="33">
        <v>0</v>
      </c>
      <c r="BO4" s="34" t="s">
        <v>36</v>
      </c>
      <c r="BP4" s="34" t="str">
        <f t="array" ref="BP4">IF(MIN(IF(BH4:BL4&gt;=0,1,-1))=1,"Não","Sim")</f>
        <v>Sim</v>
      </c>
      <c r="BQ4" s="34" t="str">
        <f>IF(BP4="Sim",INDEX(BH3:BL3,0,MATCH(MIN(BH4:BL4),BH4:BL4,0))," ")</f>
        <v>x1</v>
      </c>
      <c r="BT4" s="32" t="s">
        <v>35</v>
      </c>
      <c r="BU4" s="38">
        <v>-5</v>
      </c>
      <c r="BV4" s="38">
        <v>-1</v>
      </c>
      <c r="BW4" s="38">
        <v>0</v>
      </c>
      <c r="BX4" s="38">
        <v>0</v>
      </c>
      <c r="BY4" s="38">
        <v>0</v>
      </c>
      <c r="BZ4" s="38">
        <v>0</v>
      </c>
      <c r="CA4" s="38">
        <v>0</v>
      </c>
      <c r="CB4" s="38">
        <v>0</v>
      </c>
      <c r="CC4" s="38">
        <v>50</v>
      </c>
      <c r="CE4" t="s">
        <v>36</v>
      </c>
      <c r="CF4" t="str">
        <f t="array" ref="CF4">IF(MIN(IF(BU4:CB4&gt;=0,1,-1))=1,"Não","Sim")</f>
        <v>Sim</v>
      </c>
      <c r="CG4" t="str">
        <f>IF(CF4="Sim",INDEX(BU3:CB3,0,MATCH(MIN(BU4:CB4),BU4:CB4,0))," ")</f>
        <v>x1</v>
      </c>
    </row>
    <row r="5" spans="1:85" x14ac:dyDescent="0.25">
      <c r="B5" s="26" t="s">
        <v>31</v>
      </c>
      <c r="C5" s="28">
        <v>0.66666666666666663</v>
      </c>
      <c r="D5" s="28">
        <v>0.33333333333333331</v>
      </c>
      <c r="E5" s="28">
        <v>1</v>
      </c>
      <c r="F5" s="28">
        <v>0</v>
      </c>
      <c r="G5" s="28">
        <v>0</v>
      </c>
      <c r="H5" s="28">
        <v>4</v>
      </c>
      <c r="J5" t="str">
        <f>_xlfn.CONCAT(L5," = ",IF(INT(H5)=H5,H5,TEXT(H5,"??/??"))," ÷ ",IF(INT(INDEX(C5:G5,0,MATCH(L5,C$3:G$3,0)))=INDEX(C5:G5,0,MATCH(L5,C$3:G$3,0)),INDEX(C5:G5,0,MATCH(L5,C$3:G$3,0)),TEXT(INDEX(C5:G5,0,MATCH(L5,C$3:G$3,0)),"??/??"))," = ")</f>
        <v xml:space="preserve">x1 = 4 ÷  2/3  = </v>
      </c>
      <c r="K5" s="24">
        <f>IF(H5/INDEX(C5:G5,0,MATCH(L5,C$3:G$3,0))&lt;0,"Nao zera",H5/INDEX(C5:G5,0,MATCH(L5,C$3:G$3,0)))</f>
        <v>6</v>
      </c>
      <c r="L5" s="25" t="str">
        <f>L4</f>
        <v>x1</v>
      </c>
      <c r="O5" s="32" t="s">
        <v>32</v>
      </c>
      <c r="P5" s="33">
        <f>10/3</f>
        <v>3.3333333333333335</v>
      </c>
      <c r="Q5" s="33">
        <v>0.66666666666666663</v>
      </c>
      <c r="R5" s="33">
        <v>0.33333333333333331</v>
      </c>
      <c r="S5" s="33">
        <v>1</v>
      </c>
      <c r="T5" s="33">
        <v>0</v>
      </c>
      <c r="U5" s="33">
        <v>0</v>
      </c>
      <c r="V5" s="33">
        <v>4</v>
      </c>
      <c r="X5" t="str">
        <f>_xlfn.CONCAT(Z5," = ",IF(INT(V5)=V5,V5,TEXT(V5,"??/??"))," ÷ ",IF(INT(INDEX(P5:U5,0,MATCH(Z5,P$3:U$3,0)))=INDEX(P5:U5,0,MATCH(Z5,P$3:U$3,0)),INDEX(P5:U5,0,MATCH(Z5,P$3:U$3,0)),TEXT(INDEX(P5:U5,0,MATCH(Z5,P$3:U$3,0)),"??/??"))," = ")</f>
        <v xml:space="preserve">x2 = 4 ÷  2/3  = </v>
      </c>
      <c r="Y5" s="24">
        <f>IF(V5/INDEX(P5:U5,0,MATCH(Z5,P$3:U$3,0))&lt;0,"Nao zera",V5/INDEX(P5:U5,0,MATCH(Z5,P$3:U$3,0)))</f>
        <v>6</v>
      </c>
      <c r="Z5" s="25" t="str">
        <f>Z4</f>
        <v>x2</v>
      </c>
      <c r="AC5" s="32" t="s">
        <v>33</v>
      </c>
      <c r="AD5" s="33">
        <v>5</v>
      </c>
      <c r="AE5" s="33">
        <v>1</v>
      </c>
      <c r="AF5" s="33">
        <v>5</v>
      </c>
      <c r="AG5" s="33">
        <v>10</v>
      </c>
      <c r="AH5" s="33">
        <v>1</v>
      </c>
      <c r="AI5" s="33">
        <v>0</v>
      </c>
      <c r="AJ5" s="33">
        <v>0</v>
      </c>
      <c r="AK5" s="33">
        <v>80000</v>
      </c>
      <c r="AL5" s="34"/>
      <c r="AM5" s="34" t="str">
        <f>_xlfn.CONCAT(AO5," = ",IF(INT(AK5)=AK5,AK5,TEXT(AK5,"??/??"))," ÷ ",IF(INT(INDEX(AD5:AJ5,0,MATCH(AO5,AD$3:AJ$3,0)))=INDEX(AD5:AJ5,0,MATCH(AO5,AD$3:AJ$3,0)),INDEX(AD5:AJ5,0,MATCH(AO5,AD$3:AJ$3,0)),TEXT(INDEX(AD5:AJ5,0,MATCH(AO5,AD$3:AJ$3,0)),"??/??"))," = ")</f>
        <v xml:space="preserve">x3 = 80000 ÷ 5 = </v>
      </c>
      <c r="AN5" s="35">
        <f>IF(AK5/INDEX(AD5:AJ5,0,MATCH(AO5,AD$3:AJ$3,0))&lt;0,"Nao zera",AK5/INDEX(AD5:AJ5,0,MATCH(AO5,AD$3:AJ$3,0)))</f>
        <v>16000</v>
      </c>
      <c r="AO5" s="25" t="str">
        <f>AO4</f>
        <v>x3</v>
      </c>
      <c r="AR5" s="32" t="s">
        <v>29</v>
      </c>
      <c r="AS5" s="33">
        <v>1</v>
      </c>
      <c r="AT5" s="33">
        <v>0</v>
      </c>
      <c r="AU5" s="33">
        <v>-3.3333333333333333E-2</v>
      </c>
      <c r="AV5" s="33">
        <v>3.3333333333333333E-2</v>
      </c>
      <c r="AW5" s="33">
        <v>2.6666666666666668E-2</v>
      </c>
      <c r="AX5" s="38">
        <v>-6.6666666666666671E-3</v>
      </c>
      <c r="AY5" s="33">
        <v>6.666666666666667</v>
      </c>
      <c r="AZ5" s="34"/>
      <c r="BA5" s="34" t="str">
        <f>_xlfn.CONCAT(BC5," = ",IF(INT(AY5)=AY5,AY5,TEXT(AY5,"??/??"))," ÷ ",IF(INT(INDEX(AS5:AX5,0,MATCH(BC5,AS$3:AX$3,0)))=INDEX(AS5:AX5,0,MATCH(BC5,AS$3:AX$3,0)),INDEX(AS5:AX5,0,MATCH(BC5,AS$3:AX$3,0)),TEXT(INDEX(AS5:AX5,0,MATCH(BC5,AS$3:AX$3,0)),"??/??"))," = ")</f>
        <v xml:space="preserve">x4 = 20/3  ÷  1/30 = </v>
      </c>
      <c r="BB5" s="35">
        <f>IF(AY5/INDEX(AS5:AX5,0,MATCH(BC5,AS$3:AX$3,0))&lt;0,"Nao zera",AY5/INDEX(AS5:AX5,0,MATCH(BC5,AS$3:AX$3,0)))</f>
        <v>200</v>
      </c>
      <c r="BC5" s="25" t="str">
        <f>BC4</f>
        <v>x4</v>
      </c>
      <c r="BG5" s="32" t="s">
        <v>32</v>
      </c>
      <c r="BH5" s="33">
        <v>6</v>
      </c>
      <c r="BI5" s="33">
        <v>3</v>
      </c>
      <c r="BJ5" s="33">
        <v>4</v>
      </c>
      <c r="BK5" s="33">
        <v>1</v>
      </c>
      <c r="BL5" s="33">
        <v>0</v>
      </c>
      <c r="BM5" s="33">
        <v>24</v>
      </c>
      <c r="BO5" s="34" t="str">
        <f>_xlfn.CONCAT(BQ5," = ",IF(INT(BM5)=BM5,BM5,TEXT(BM5,"??/??"))," ÷ ",IF(INT(INDEX(BH5:BL5,0,MATCH(BQ5,BH$3:BL$3,0)))=INDEX(BH5:BL5,0,MATCH(BQ5,BH$3:BL$3,0)),INDEX(BH5:BL5,0,MATCH(BQ5,BH$3:BL$3,0)),TEXT(INDEX(BH5:BL5,0,MATCH(BQ5,BH$3:BL$3,0)),"??/??"))," = ")</f>
        <v xml:space="preserve">x1 = 24 ÷ 6 = </v>
      </c>
      <c r="BP5" s="35">
        <f>IF(BM5/INDEX(BH5:BL5,0,MATCH(BQ5,BH$3:BL$3,0))&lt;0,"Nao zera",BM5/INDEX(BH5:BL5,0,MATCH(BQ5,BH$3:BL$3,0)))</f>
        <v>4</v>
      </c>
      <c r="BQ5" s="25" t="str">
        <f>BQ4</f>
        <v>x1</v>
      </c>
      <c r="BT5" s="32" t="s">
        <v>33</v>
      </c>
      <c r="BU5" s="38">
        <v>5</v>
      </c>
      <c r="BV5" s="38">
        <v>1</v>
      </c>
      <c r="BW5" s="38">
        <v>-1</v>
      </c>
      <c r="BX5" s="38">
        <v>2</v>
      </c>
      <c r="BY5" s="38">
        <v>1</v>
      </c>
      <c r="BZ5" s="38">
        <v>0</v>
      </c>
      <c r="CA5" s="38">
        <v>0</v>
      </c>
      <c r="CB5" s="38">
        <v>0</v>
      </c>
      <c r="CC5" s="38">
        <v>12</v>
      </c>
      <c r="CE5" t="str">
        <f>_xlfn.CONCAT(CG5," = ",IF(INT(CC5)=CC5,CC5,TEXT(CC5,"??/??"))," ÷ ",IF(INT(INDEX(BU5:CB5,0,MATCH(CG5,BU$3:CB$3,0)))=INDEX(BU5:CB5,0,MATCH(CG5,BU$3:CB$3,0)),INDEX(BU5:CB5,0,MATCH(CG5,BU$3:CB$3,0)),TEXT(INDEX(BU5:CB5,0,MATCH(CG5,BU$3:CB$3,0)),"??/??"))," = ")</f>
        <v xml:space="preserve">x1 = 12 ÷ 5 = </v>
      </c>
      <c r="CF5" s="24">
        <f>IF(CC5/INDEX(BU5:CB5,0,MATCH(CG5,BU$3:CB$3,0))&lt;0,"Nao zera",CC5/INDEX(BU5:CB5,0,MATCH(CG5,BU$3:CB$3,0)))</f>
        <v>2.4</v>
      </c>
      <c r="CG5" s="25" t="str">
        <f>CG4</f>
        <v>x1</v>
      </c>
    </row>
    <row r="6" spans="1:85" x14ac:dyDescent="0.25">
      <c r="B6" s="26" t="s">
        <v>32</v>
      </c>
      <c r="C6" s="28">
        <v>1.5</v>
      </c>
      <c r="D6" s="28">
        <v>-0.75</v>
      </c>
      <c r="E6" s="28">
        <v>0</v>
      </c>
      <c r="F6" s="28">
        <v>1</v>
      </c>
      <c r="G6" s="28">
        <v>0</v>
      </c>
      <c r="H6" s="28">
        <v>4.5</v>
      </c>
      <c r="J6" t="str">
        <f>_xlfn.CONCAT(L6," = ",IF(INT(H6)=H6,H6,TEXT(H6,"??/??"))," ÷ ",IF(INT(INDEX(C6:G6,0,MATCH(L6,C$3:G$3,0)))=INDEX(C6:G6,0,MATCH(L6,C$3:G$3,0)),INDEX(C6:G6,0,MATCH(L6,C$3:G$3,0)),TEXT(INDEX(C6:G6,0,MATCH(L6,C$3:G$3,0)),"??/??"))," = ")</f>
        <v xml:space="preserve">x1 =  9/2  ÷  3/2  = </v>
      </c>
      <c r="K6" s="24">
        <f>IF(H6/INDEX(C6:G6,0,MATCH(L6,C$3:G$3,0))&lt;0,"Nao zera",H6/INDEX(C6:G6,0,MATCH(L6,C$3:G$3,0)))</f>
        <v>3</v>
      </c>
      <c r="L6" s="25" t="str">
        <f>L4</f>
        <v>x1</v>
      </c>
      <c r="O6" s="32" t="s">
        <v>33</v>
      </c>
      <c r="P6" s="33">
        <v>5.5</v>
      </c>
      <c r="Q6" s="33">
        <v>1.5</v>
      </c>
      <c r="R6" s="33">
        <v>-0.75</v>
      </c>
      <c r="S6" s="33">
        <v>0</v>
      </c>
      <c r="T6" s="33">
        <v>1</v>
      </c>
      <c r="U6" s="33">
        <v>0</v>
      </c>
      <c r="V6" s="33">
        <v>4.5</v>
      </c>
      <c r="X6" t="str">
        <f t="shared" ref="X6:X7" si="0">_xlfn.CONCAT(Z6," = ",IF(INT(V6)=V6,V6,TEXT(V6,"??/??"))," ÷ ",IF(INT(INDEX(P6:U6,0,MATCH(Z6,P$3:U$3,0)))=INDEX(P6:U6,0,MATCH(Z6,P$3:U$3,0)),INDEX(P6:U6,0,MATCH(Z6,P$3:U$3,0)),TEXT(INDEX(P6:U6,0,MATCH(Z6,P$3:U$3,0)),"??/??"))," = ")</f>
        <v xml:space="preserve">x2 =  9/2  ÷  3/2  = </v>
      </c>
      <c r="Y6" s="24">
        <f t="shared" ref="Y6:Y7" si="1">IF(V6/INDEX(P6:U6,0,MATCH(Z6,P$3:U$3,0))&lt;0,"Nao zera",V6/INDEX(P6:U6,0,MATCH(Z6,P$3:U$3,0)))</f>
        <v>3</v>
      </c>
      <c r="Z6" s="25" t="str">
        <f>Z4</f>
        <v>x2</v>
      </c>
      <c r="AC6" s="32" t="s">
        <v>45</v>
      </c>
      <c r="AD6" s="33">
        <v>1</v>
      </c>
      <c r="AE6" s="33">
        <v>4</v>
      </c>
      <c r="AF6" s="33">
        <v>10</v>
      </c>
      <c r="AG6" s="33">
        <v>5</v>
      </c>
      <c r="AH6" s="33">
        <v>0</v>
      </c>
      <c r="AI6" s="33">
        <v>1</v>
      </c>
      <c r="AJ6" s="33">
        <v>0</v>
      </c>
      <c r="AK6" s="33">
        <v>100000</v>
      </c>
      <c r="AL6" s="34"/>
      <c r="AM6" s="34" t="str">
        <f t="shared" ref="AM6:AM7" si="2">_xlfn.CONCAT(AO6," = ",IF(INT(AK6)=AK6,AK6,TEXT(AK6,"??/??"))," ÷ ",IF(INT(INDEX(AD6:AJ6,0,MATCH(AO6,AD$3:AJ$3,0)))=INDEX(AD6:AJ6,0,MATCH(AO6,AD$3:AJ$3,0)),INDEX(AD6:AJ6,0,MATCH(AO6,AD$3:AJ$3,0)),TEXT(INDEX(AD6:AJ6,0,MATCH(AO6,AD$3:AJ$3,0)),"??/??"))," = ")</f>
        <v xml:space="preserve">x3 = 100000 ÷ 10 = </v>
      </c>
      <c r="AN6" s="35">
        <f t="shared" ref="AN6:AN7" si="3">IF(AK6/INDEX(AD6:AJ6,0,MATCH(AO6,AD$3:AJ$3,0))&lt;0,"Nao zera",AK6/INDEX(AD6:AJ6,0,MATCH(AO6,AD$3:AJ$3,0)))</f>
        <v>10000</v>
      </c>
      <c r="AO6" s="25" t="str">
        <f>AO4</f>
        <v>x3</v>
      </c>
      <c r="AR6" s="32" t="s">
        <v>30</v>
      </c>
      <c r="AS6" s="33">
        <v>0</v>
      </c>
      <c r="AT6" s="33">
        <v>1</v>
      </c>
      <c r="AU6" s="33">
        <v>0.23333333333333334</v>
      </c>
      <c r="AV6" s="33">
        <v>1.6666666666666667</v>
      </c>
      <c r="AW6" s="33">
        <v>-6.6666666666666666E-2</v>
      </c>
      <c r="AX6" s="33">
        <v>0.26666666666666666</v>
      </c>
      <c r="AY6" s="33">
        <v>133.33333333333334</v>
      </c>
      <c r="AZ6" s="34"/>
      <c r="BA6" s="34" t="str">
        <f t="shared" ref="BA6" si="4">_xlfn.CONCAT(BC6," = ",IF(INT(AY6)=AY6,AY6,TEXT(AY6,"??/??"))," ÷ ",IF(INT(INDEX(AS6:AX6,0,MATCH(BC6,AS$3:AX$3,0)))=INDEX(AS6:AX6,0,MATCH(BC6,AS$3:AX$3,0)),INDEX(AS6:AX6,0,MATCH(BC6,AS$3:AX$3,0)),TEXT(INDEX(AS6:AX6,0,MATCH(BC6,AS$3:AX$3,0)),"??/??"))," = ")</f>
        <v xml:space="preserve">x4 = 400/3  ÷  5/3  = </v>
      </c>
      <c r="BB6" s="35">
        <f t="shared" ref="BB6" si="5">IF(AY6/INDEX(AS6:AX6,0,MATCH(BC6,AS$3:AX$3,0))&lt;0,"Nao zera",AY6/INDEX(AS6:AX6,0,MATCH(BC6,AS$3:AX$3,0)))</f>
        <v>80</v>
      </c>
      <c r="BC6" s="25" t="str">
        <f>BC4</f>
        <v>x4</v>
      </c>
      <c r="BG6" s="32" t="s">
        <v>33</v>
      </c>
      <c r="BH6" s="33">
        <v>6</v>
      </c>
      <c r="BI6" s="33">
        <v>12</v>
      </c>
      <c r="BJ6" s="33">
        <v>4</v>
      </c>
      <c r="BK6" s="33">
        <v>0</v>
      </c>
      <c r="BL6" s="33">
        <v>1</v>
      </c>
      <c r="BM6" s="33">
        <v>48</v>
      </c>
      <c r="BO6" s="34" t="str">
        <f>_xlfn.CONCAT(BQ6," = ",IF(INT(BM6)=BM6,BM6,TEXT(BM6,"??/??"))," ÷ ",IF(INT(INDEX(BH6:BL6,0,MATCH(BQ6,BH$3:BL$3,0)))=INDEX(BH6:BL6,0,MATCH(BQ6,BH$3:BL$3,0)),INDEX(BH6:BL6,0,MATCH(BQ6,BH$3:BL$3,0)),TEXT(INDEX(BH6:BL6,0,MATCH(BQ6,BH$3:BL$3,0)),"??/??"))," = ")</f>
        <v xml:space="preserve">x1 = 48 ÷ 6 = </v>
      </c>
      <c r="BP6" s="35">
        <f>IF(BM6/INDEX(BH6:BL6,0,MATCH(BQ6,BH$3:BL$3,0))&lt;0,"Nao zera",BM6/INDEX(BH6:BL6,0,MATCH(BQ6,BH$3:BL$3,0)))</f>
        <v>8</v>
      </c>
      <c r="BQ6" s="25" t="str">
        <f>BQ4</f>
        <v>x1</v>
      </c>
      <c r="BT6" s="32" t="s">
        <v>45</v>
      </c>
      <c r="BU6" s="38">
        <v>-14</v>
      </c>
      <c r="BV6" s="38">
        <v>-3</v>
      </c>
      <c r="BW6" s="38">
        <v>3</v>
      </c>
      <c r="BX6" s="38">
        <v>-5</v>
      </c>
      <c r="BY6" s="38">
        <v>0</v>
      </c>
      <c r="BZ6" s="38">
        <v>1</v>
      </c>
      <c r="CA6" s="38">
        <v>0</v>
      </c>
      <c r="CB6" s="38">
        <v>0</v>
      </c>
      <c r="CC6" s="38">
        <v>2</v>
      </c>
      <c r="CE6" s="34" t="str">
        <f t="shared" ref="CE6:CE8" si="6">_xlfn.CONCAT(CG6," = ",IF(INT(CC6)=CC6,CC6,TEXT(CC6,"??/??"))," ÷ ",IF(INT(INDEX(BU6:CB6,0,MATCH(CG6,BU$3:CB$3,0)))=INDEX(BU6:CB6,0,MATCH(CG6,BU$3:CB$3,0)),INDEX(BU6:CB6,0,MATCH(CG6,BU$3:CB$3,0)),TEXT(INDEX(BU6:CB6,0,MATCH(CG6,BU$3:CB$3,0)),"??/??"))," = ")</f>
        <v xml:space="preserve">x1 = 2 ÷ -14 = </v>
      </c>
      <c r="CF6" s="35" t="str">
        <f t="shared" ref="CF6:CF8" si="7">IF(CC6/INDEX(BU6:CB6,0,MATCH(CG6,BU$3:CB$3,0))&lt;0,"Nao zera",CC6/INDEX(BU6:CB6,0,MATCH(CG6,BU$3:CB$3,0)))</f>
        <v>Nao zera</v>
      </c>
      <c r="CG6" s="25" t="str">
        <f>CG4</f>
        <v>x1</v>
      </c>
    </row>
    <row r="7" spans="1:85" x14ac:dyDescent="0.25">
      <c r="B7" s="26" t="s">
        <v>33</v>
      </c>
      <c r="C7" s="28">
        <v>-0.25</v>
      </c>
      <c r="D7" s="28">
        <v>0.33333333333333331</v>
      </c>
      <c r="E7" s="28">
        <v>0</v>
      </c>
      <c r="F7" s="28">
        <v>0</v>
      </c>
      <c r="G7" s="28">
        <v>1</v>
      </c>
      <c r="H7" s="28">
        <v>2</v>
      </c>
      <c r="J7" t="str">
        <f>_xlfn.CONCAT(L7," = ",IF(INT(H7)=H7,H7,TEXT(H7,"??/??"))," ÷ ",IF(INT(INDEX(C7:G7,0,MATCH(L7,C$3:G$3,0)))=INDEX(C7:G7,0,MATCH(L7,C$3:G$3,0)),INDEX(C7:G7,0,MATCH(L7,C$3:G$3,0)),TEXT(INDEX(C7:G7,0,MATCH(L7,C$3:G$3,0)),"??/??"))," = ")</f>
        <v xml:space="preserve">x1 = 2 ÷ - 1/4  = </v>
      </c>
      <c r="K7" s="24" t="str">
        <f>IF(H7/INDEX(C7:G7,0,MATCH(L7,C$3:G$3,0))&lt;0,"Nao zera",H7/INDEX(C7:G7,0,MATCH(L7,C$3:G$3,0)))</f>
        <v>Nao zera</v>
      </c>
      <c r="L7" s="25" t="str">
        <f>L4</f>
        <v>x1</v>
      </c>
      <c r="O7" s="32" t="s">
        <v>45</v>
      </c>
      <c r="P7" s="33">
        <v>0.42857142857142855</v>
      </c>
      <c r="Q7" s="33">
        <v>-0.25</v>
      </c>
      <c r="R7" s="33">
        <v>0.33333333333333331</v>
      </c>
      <c r="S7" s="33">
        <v>0</v>
      </c>
      <c r="T7" s="33">
        <v>0</v>
      </c>
      <c r="U7" s="33">
        <v>1</v>
      </c>
      <c r="V7" s="33">
        <v>2</v>
      </c>
      <c r="X7" t="str">
        <f t="shared" si="0"/>
        <v xml:space="preserve">x2 = 2 ÷ - 1/4  = </v>
      </c>
      <c r="Y7" s="24" t="str">
        <f t="shared" si="1"/>
        <v>Nao zera</v>
      </c>
      <c r="Z7" s="25" t="str">
        <f>Z4</f>
        <v>x2</v>
      </c>
      <c r="AC7" s="32" t="s">
        <v>46</v>
      </c>
      <c r="AD7" s="33">
        <v>5</v>
      </c>
      <c r="AE7" s="33">
        <v>3</v>
      </c>
      <c r="AF7" s="33">
        <v>6</v>
      </c>
      <c r="AG7" s="33">
        <v>5</v>
      </c>
      <c r="AH7" s="33">
        <v>0</v>
      </c>
      <c r="AI7" s="33">
        <v>0</v>
      </c>
      <c r="AJ7" s="33">
        <v>1</v>
      </c>
      <c r="AK7" s="33">
        <v>60000</v>
      </c>
      <c r="AL7" s="34"/>
      <c r="AM7" s="34" t="str">
        <f t="shared" si="2"/>
        <v xml:space="preserve">x3 = 60000 ÷ 6 = </v>
      </c>
      <c r="AN7" s="35">
        <f t="shared" si="3"/>
        <v>10000</v>
      </c>
      <c r="AO7" s="25" t="str">
        <f>AO4</f>
        <v>x3</v>
      </c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5"/>
      <c r="BC7" s="25"/>
      <c r="BG7" s="34"/>
      <c r="BH7" s="34"/>
      <c r="BI7" s="34"/>
      <c r="BJ7" s="34"/>
      <c r="BK7" s="34"/>
      <c r="BL7" s="34"/>
      <c r="BM7" s="34"/>
      <c r="BN7" s="34"/>
      <c r="BO7" s="34"/>
      <c r="BP7" s="35"/>
      <c r="BQ7" s="25"/>
      <c r="BT7" s="32" t="s">
        <v>46</v>
      </c>
      <c r="BU7" s="38">
        <v>2</v>
      </c>
      <c r="BV7" s="38">
        <v>0.5</v>
      </c>
      <c r="BW7" s="38">
        <v>-0.5</v>
      </c>
      <c r="BX7" s="38">
        <v>0.5</v>
      </c>
      <c r="BY7" s="38">
        <v>0</v>
      </c>
      <c r="BZ7" s="38">
        <v>0</v>
      </c>
      <c r="CA7" s="38">
        <v>1</v>
      </c>
      <c r="CB7" s="38">
        <v>0</v>
      </c>
      <c r="CC7" s="38">
        <v>2.5</v>
      </c>
      <c r="CE7" s="34" t="str">
        <f t="shared" si="6"/>
        <v xml:space="preserve">x1 =  5/2  ÷ 2 = </v>
      </c>
      <c r="CF7" s="35">
        <f t="shared" si="7"/>
        <v>1.25</v>
      </c>
      <c r="CG7" s="25" t="str">
        <f>CG4</f>
        <v>x1</v>
      </c>
    </row>
    <row r="8" spans="1:85" x14ac:dyDescent="0.25">
      <c r="L8" s="25"/>
      <c r="Z8" s="25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25"/>
      <c r="AR8" s="34"/>
      <c r="AS8" s="34"/>
      <c r="AT8" s="34"/>
      <c r="AU8" s="34"/>
      <c r="AV8" s="34"/>
      <c r="AW8" s="34"/>
      <c r="AX8" s="34"/>
      <c r="AY8" s="34"/>
      <c r="AZ8" s="34"/>
      <c r="BA8" s="34" t="s">
        <v>37</v>
      </c>
      <c r="BB8" s="35" t="str">
        <f ca="1">OFFSET(AR5,MATCH(MIN(BB5:BB6),BB5:BB6,0)-1,0)</f>
        <v>x2</v>
      </c>
      <c r="BC8" s="25"/>
      <c r="BG8" s="34"/>
      <c r="BH8" s="34"/>
      <c r="BI8" s="34"/>
      <c r="BJ8" s="34"/>
      <c r="BK8" s="34"/>
      <c r="BL8" s="34"/>
      <c r="BM8" s="34"/>
      <c r="BN8" s="34"/>
      <c r="BO8" s="34" t="s">
        <v>37</v>
      </c>
      <c r="BP8" s="35" t="str">
        <f ca="1">OFFSET(BG5,MATCH(MIN(BP5:BP6),BP5:BP6,0)-1,0)</f>
        <v>x4</v>
      </c>
      <c r="BQ8" s="25"/>
      <c r="BT8" s="32" t="s">
        <v>64</v>
      </c>
      <c r="BU8" s="38">
        <v>3</v>
      </c>
      <c r="BV8" s="38">
        <v>0.5</v>
      </c>
      <c r="BW8" s="38">
        <v>0.5</v>
      </c>
      <c r="BX8" s="38">
        <v>1.5</v>
      </c>
      <c r="BY8" s="38">
        <v>0</v>
      </c>
      <c r="BZ8" s="38">
        <v>0</v>
      </c>
      <c r="CA8" s="38">
        <v>0</v>
      </c>
      <c r="CB8" s="38">
        <v>1</v>
      </c>
      <c r="CC8" s="38">
        <v>3</v>
      </c>
      <c r="CE8" s="34" t="str">
        <f t="shared" si="6"/>
        <v xml:space="preserve">x1 = 3 ÷ 3 = </v>
      </c>
      <c r="CF8" s="35">
        <f t="shared" si="7"/>
        <v>1</v>
      </c>
      <c r="CG8" s="25" t="str">
        <f>CG4</f>
        <v>x1</v>
      </c>
    </row>
    <row r="9" spans="1:85" x14ac:dyDescent="0.25">
      <c r="J9" t="s">
        <v>37</v>
      </c>
      <c r="K9" t="str">
        <f ca="1">OFFSET(B5,MATCH(MIN(K5:K7),K5:K7,0)-1,0)</f>
        <v>x4</v>
      </c>
      <c r="X9" t="s">
        <v>37</v>
      </c>
      <c r="Y9" s="24" t="str">
        <f ca="1">OFFSET(O5,MATCH(MIN(Y5:Y7),Y5:Y7,0)-1,0)</f>
        <v>x5</v>
      </c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 t="s">
        <v>37</v>
      </c>
      <c r="AN9" s="35" t="str">
        <f ca="1">OFFSET(AC5,MATCH(MIN(AN5:AN7),AN5:AN7,0)-1,0)</f>
        <v>x6</v>
      </c>
      <c r="AO9" s="34"/>
      <c r="AR9" s="34"/>
      <c r="AS9" s="34"/>
      <c r="AT9" s="34"/>
      <c r="AU9" s="34"/>
      <c r="AV9" s="34"/>
      <c r="AW9" s="34"/>
      <c r="AX9" s="34"/>
      <c r="AY9" s="34"/>
      <c r="AZ9" s="34"/>
      <c r="BA9" s="34" t="s">
        <v>38</v>
      </c>
      <c r="BB9" s="35">
        <f ca="1">INDEX(AS5:AX6,MATCH(BB8,AR5:AR6,0),MATCH(BC4,AS$3:AX$3,0))</f>
        <v>1.6666666666666667</v>
      </c>
      <c r="BC9" s="34"/>
      <c r="BG9" s="34"/>
      <c r="BH9" s="34"/>
      <c r="BI9" s="34"/>
      <c r="BJ9" s="34"/>
      <c r="BK9" s="34"/>
      <c r="BL9" s="34"/>
      <c r="BM9" s="34"/>
      <c r="BN9" s="34"/>
      <c r="BO9" s="34" t="s">
        <v>38</v>
      </c>
      <c r="BP9" s="35">
        <f ca="1">INDEX(BH5:BL6,MATCH(BP8,BG5:BG6,0),MATCH(BQ4,BH$3:BL$3,0))</f>
        <v>6</v>
      </c>
      <c r="BQ9" s="34"/>
      <c r="CE9" t="s">
        <v>37</v>
      </c>
      <c r="CF9" s="24" t="str">
        <f ca="1">OFFSET(BT5,MATCH(MIN(CF5:CF8),CF5:CF8,0)-1,0)</f>
        <v>x8</v>
      </c>
    </row>
    <row r="10" spans="1:85" x14ac:dyDescent="0.25">
      <c r="J10" t="s">
        <v>38</v>
      </c>
      <c r="K10" s="24">
        <f ca="1">INDEX(C5:G7,MATCH(K9,B5:B7,0),MATCH(L4,C$3:G$3,0))</f>
        <v>1.5</v>
      </c>
      <c r="X10" t="s">
        <v>38</v>
      </c>
      <c r="Y10" s="24">
        <f ca="1">INDEX(P5:U7,MATCH(Y9,O5:O7,0),MATCH(Z4,P$3:U$3,0))</f>
        <v>1.5</v>
      </c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 t="s">
        <v>38</v>
      </c>
      <c r="AN10" s="35">
        <f ca="1">INDEX(AD5:AJ7,MATCH(AN9,AC5:AC7,0),MATCH(AO4,AD$3:AJ$3,0))</f>
        <v>10</v>
      </c>
      <c r="AO10" s="34"/>
      <c r="AR10" s="34"/>
      <c r="AS10" s="34"/>
      <c r="AT10" s="34"/>
      <c r="AU10" s="34"/>
      <c r="AV10" s="34"/>
      <c r="AW10" s="34"/>
      <c r="AX10" s="34"/>
      <c r="AY10" s="34"/>
      <c r="AZ10" s="34"/>
      <c r="BC10" s="34"/>
      <c r="CE10" t="s">
        <v>38</v>
      </c>
      <c r="CF10" s="24">
        <f ca="1">INDEX(BU5:CB8,MATCH(CF9,BT5:BT8,0),MATCH(CG4,BU$3:CB$3,0))</f>
        <v>3</v>
      </c>
    </row>
    <row r="11" spans="1:85" x14ac:dyDescent="0.25">
      <c r="B11" s="46" t="s">
        <v>40</v>
      </c>
      <c r="C11" s="46"/>
      <c r="D11" s="46"/>
      <c r="E11" s="46"/>
      <c r="F11" s="46"/>
      <c r="G11" s="46"/>
      <c r="H11" s="46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R11" s="32"/>
      <c r="AS11" s="32" t="str">
        <f>AS3</f>
        <v>x1</v>
      </c>
      <c r="AT11" s="32" t="str">
        <f t="shared" ref="AT11:AY11" si="8">AT3</f>
        <v>x2</v>
      </c>
      <c r="AU11" s="32" t="str">
        <f t="shared" si="8"/>
        <v>x3</v>
      </c>
      <c r="AV11" s="32" t="str">
        <f t="shared" si="8"/>
        <v>x4</v>
      </c>
      <c r="AW11" s="32" t="str">
        <f t="shared" si="8"/>
        <v>x5</v>
      </c>
      <c r="AX11" s="32" t="str">
        <f t="shared" si="8"/>
        <v>x6</v>
      </c>
      <c r="AY11" s="32" t="str">
        <f t="shared" si="8"/>
        <v>-z0</v>
      </c>
      <c r="BG11" s="32"/>
      <c r="BH11" s="32" t="str">
        <f>BH3</f>
        <v>x1</v>
      </c>
      <c r="BI11" s="32" t="str">
        <f t="shared" ref="BI11:BM11" si="9">BI3</f>
        <v>x2</v>
      </c>
      <c r="BJ11" s="32" t="str">
        <f t="shared" si="9"/>
        <v>x3</v>
      </c>
      <c r="BK11" s="32" t="str">
        <f t="shared" si="9"/>
        <v>x4</v>
      </c>
      <c r="BL11" s="32" t="str">
        <f t="shared" si="9"/>
        <v>x5</v>
      </c>
      <c r="BM11" s="32" t="str">
        <f t="shared" si="9"/>
        <v>-z0</v>
      </c>
    </row>
    <row r="12" spans="1:85" x14ac:dyDescent="0.25">
      <c r="B12" s="30"/>
      <c r="C12" s="30" t="str">
        <f>C3</f>
        <v>x1</v>
      </c>
      <c r="D12" s="30" t="str">
        <f t="shared" ref="D12:H12" si="10">D3</f>
        <v>x2</v>
      </c>
      <c r="E12" s="30" t="str">
        <f t="shared" si="10"/>
        <v>x3</v>
      </c>
      <c r="F12" s="30" t="str">
        <f t="shared" si="10"/>
        <v>x4</v>
      </c>
      <c r="G12" s="30" t="str">
        <f t="shared" si="10"/>
        <v>x5</v>
      </c>
      <c r="H12" s="30" t="str">
        <f t="shared" si="10"/>
        <v>-z0</v>
      </c>
      <c r="O12" s="32"/>
      <c r="P12" s="32" t="str">
        <f>P3</f>
        <v>x1</v>
      </c>
      <c r="Q12" s="32" t="str">
        <f t="shared" ref="Q12:V12" si="11">Q3</f>
        <v>x2</v>
      </c>
      <c r="R12" s="32" t="str">
        <f t="shared" si="11"/>
        <v>x3</v>
      </c>
      <c r="S12" s="32" t="str">
        <f t="shared" si="11"/>
        <v>x4</v>
      </c>
      <c r="T12" s="32" t="str">
        <f t="shared" si="11"/>
        <v>x5</v>
      </c>
      <c r="U12" s="32" t="str">
        <f t="shared" si="11"/>
        <v>x6</v>
      </c>
      <c r="V12" s="32" t="str">
        <f t="shared" si="11"/>
        <v>-z0</v>
      </c>
      <c r="AC12" s="32"/>
      <c r="AD12" s="32" t="str">
        <f>AD3</f>
        <v>x1</v>
      </c>
      <c r="AE12" s="32" t="str">
        <f t="shared" ref="AE12:AK12" si="12">AE3</f>
        <v>x2</v>
      </c>
      <c r="AF12" s="32" t="str">
        <f t="shared" si="12"/>
        <v>x3</v>
      </c>
      <c r="AG12" s="32" t="str">
        <f t="shared" si="12"/>
        <v>x4</v>
      </c>
      <c r="AH12" s="32" t="str">
        <f t="shared" si="12"/>
        <v>x5</v>
      </c>
      <c r="AI12" s="32" t="str">
        <f t="shared" si="12"/>
        <v>x6</v>
      </c>
      <c r="AJ12" s="32" t="str">
        <f t="shared" si="12"/>
        <v>x7</v>
      </c>
      <c r="AK12" s="32" t="str">
        <f t="shared" si="12"/>
        <v>-z0</v>
      </c>
      <c r="AL12" s="34"/>
      <c r="AM12" s="34"/>
      <c r="AN12" s="34"/>
      <c r="AO12" s="34"/>
      <c r="AR12" s="32" t="str">
        <f>AR4</f>
        <v>-z</v>
      </c>
      <c r="AS12" s="33">
        <f ca="1">IF($AR12=$BC4,IF(AS$3=$BC4,AS4/AS4,AS4/$BB9),IF(AS$3=$BC4,0,AS4+(-1*INDEX($AS4:$AY4,0,MATCH($BC4,$AS$3:$AY$3,0)))*INDEX($AS5:$AY6,MATCH($BB8,$AR5:$AR6,0),MATCH(AS$3,$AS$3:$AY$3,0))/$BB9))</f>
        <v>0</v>
      </c>
      <c r="AT12" s="33">
        <f t="shared" ref="AT12:AY12" ca="1" si="13">IF($AR12=$BC4,IF(AT$3=$BC4,AT4/AT4,AT4/$BB9),IF(AT$3=$BC4,0,AT4+(-1*INDEX($AS4:$AY4,0,MATCH($BC4,$AS$3:$AY$3,0)))*INDEX($AS5:$AY6,MATCH($BB8,$AR5:$AR6,0),MATCH(AT$3,$AS$3:$AY$3,0))/$BB9))</f>
        <v>1.2</v>
      </c>
      <c r="AU12" s="33">
        <f t="shared" ca="1" si="13"/>
        <v>2.2799999999999998</v>
      </c>
      <c r="AV12" s="33">
        <f t="shared" si="13"/>
        <v>0</v>
      </c>
      <c r="AW12" s="33">
        <f t="shared" ca="1" si="13"/>
        <v>0.15999999999999998</v>
      </c>
      <c r="AX12" s="33">
        <f t="shared" ca="1" si="13"/>
        <v>1.76</v>
      </c>
      <c r="AY12" s="33">
        <f t="shared" ca="1" si="13"/>
        <v>2026.6666666666667</v>
      </c>
      <c r="BA12" s="34" t="s">
        <v>36</v>
      </c>
      <c r="BB12" s="34" t="str">
        <f t="array" aca="1" ref="BB12" ca="1">IF(MIN(IF(AS12:AX12&gt;=0,1,-1))=1,"Não","Sim")</f>
        <v>Não</v>
      </c>
      <c r="BC12" s="34" t="str">
        <f ca="1">IF(BB12="Sim",INDEX(AS11:AX11,0,MATCH(MIN(AS12:AX12),AS12:AX12,0))," ")</f>
        <v xml:space="preserve"> </v>
      </c>
      <c r="BG12" s="32" t="str">
        <f>BG4</f>
        <v>-z</v>
      </c>
      <c r="BH12" s="38">
        <f>IF($BG12=$BQ4,IF(BH$3=$BQ4,BH4/BH4,BH4/$BP9),IF(BH$3=$BQ4,0,BH4+(-1*INDEX($BH4:$BM4,0,MATCH($BQ4,$BH$3:$BM$3,0)))*INDEX($BH5:$BM6,MATCH($BP8,$BG5:$BG6,0),MATCH(BH$3,$BH$3:$BM$3,0))/$BP9))</f>
        <v>0</v>
      </c>
      <c r="BI12" s="38">
        <f t="shared" ref="BI12:BM12" ca="1" si="14">IF($BG12=$BQ4,IF(BI$3=$BQ4,BI4/BI4,BI4/$BP9),IF(BI$3=$BQ4,0,BI4+(-1*INDEX($BH4:$BM4,0,MATCH($BQ4,$BH$3:$BM$3,0)))*INDEX($BH5:$BM6,MATCH($BP8,$BG5:$BG6,0),MATCH(BI$3,$BH$3:$BM$3,0))/$BP9))</f>
        <v>0</v>
      </c>
      <c r="BJ12" s="38">
        <f t="shared" ca="1" si="14"/>
        <v>0</v>
      </c>
      <c r="BK12" s="38">
        <f t="shared" ca="1" si="14"/>
        <v>6</v>
      </c>
      <c r="BL12" s="38">
        <f t="shared" ca="1" si="14"/>
        <v>0</v>
      </c>
      <c r="BM12" s="38">
        <f t="shared" ca="1" si="14"/>
        <v>144</v>
      </c>
      <c r="BO12" s="34" t="s">
        <v>36</v>
      </c>
      <c r="BP12" s="34" t="str">
        <f t="array" aca="1" ref="BP12" ca="1">IF(MIN(IF(BH12:BL12&gt;=0,1,-1))=1,"Não","Sim")</f>
        <v>Não</v>
      </c>
      <c r="BQ12" s="34" t="str">
        <f ca="1">IF(BP12="Sim",INDEX(BH11:BL11,0,MATCH(MIN(BH12:BL12),BH12:BL12,0))," ")</f>
        <v xml:space="preserve"> </v>
      </c>
    </row>
    <row r="13" spans="1:85" x14ac:dyDescent="0.25">
      <c r="B13" s="30" t="str">
        <f>B4</f>
        <v>-z</v>
      </c>
      <c r="C13" s="31">
        <f>IF($B13=$L4,IF(C$3=$L4,C4/C4,C4/$K10),IF(C$3=$L4,0,C4+(-1*INDEX($C4:$H4,0,MATCH($L4,$C$3:$H$3,0)))*INDEX($C5:$H7,MATCH($K9,$B5:$B7,0),MATCH(C$3,$C$3:$H$3,0))/$K10))</f>
        <v>0</v>
      </c>
      <c r="D13" s="31">
        <f t="shared" ref="D13:H13" ca="1" si="15">IF($B13=$L4,IF(D$3=$L4,D4/D4,D4/$K10),IF(D$3=$L4,0,D4+(-1*INDEX($C4:$H4,0,MATCH($L4,$C$3:$H$3,0)))*INDEX($C5:$H7,MATCH($K9,$B5:$B7,0),MATCH(D$3,$C$3:$H$3,0))/$K10))</f>
        <v>-0.9375</v>
      </c>
      <c r="E13" s="31">
        <f t="shared" ca="1" si="15"/>
        <v>0</v>
      </c>
      <c r="F13" s="31">
        <f t="shared" ca="1" si="15"/>
        <v>0.58333333333333337</v>
      </c>
      <c r="G13" s="31">
        <f t="shared" ca="1" si="15"/>
        <v>0</v>
      </c>
      <c r="H13" s="31">
        <f t="shared" ca="1" si="15"/>
        <v>-12.375</v>
      </c>
      <c r="J13" t="s">
        <v>36</v>
      </c>
      <c r="K13" t="str">
        <f t="array" aca="1" ref="K13" ca="1">IF(MIN(IF(C13:G13&gt;=0,1,-1))=1,"Não","Sim")</f>
        <v>Sim</v>
      </c>
      <c r="L13" t="str">
        <f ca="1">IF(K13="Sim",INDEX(C12:G12,0,MATCH(MIN(C13:G13),C13:G13,0))," ")</f>
        <v>x2</v>
      </c>
      <c r="O13" s="32" t="str">
        <f>O4</f>
        <v>-z</v>
      </c>
      <c r="P13" s="33">
        <f ca="1">IF($O13=$Z4,IF(P$3=$Z4,P4/P4,P4/$Y10),IF(P$3=$Z4,0,P4+(-1*INDEX($P4:$V4,0,MATCH($Z4,$P$3:$V$3,0)))*INDEX($P5:$V7,MATCH($Y9,$O5:$O7,0),MATCH(P$3,$P$3:$V$3,0))/$Y10))</f>
        <v>4.041666666666667</v>
      </c>
      <c r="Q13" s="33">
        <f t="shared" ref="Q13:V13" si="16">IF($O13=$Z4,IF(Q$3=$Z4,Q4/Q4,Q4/$Y10),IF(Q$3=$Z4,0,Q4+(-1*INDEX($P4:$V4,0,MATCH($Z4,$P$3:$V$3,0)))*INDEX($P5:$V7,MATCH($Y9,$O5:$O7,0),MATCH(Q$3,$P$3:$V$3,0))/$Y10))</f>
        <v>0</v>
      </c>
      <c r="R13" s="33">
        <f t="shared" ca="1" si="16"/>
        <v>-0.9375</v>
      </c>
      <c r="S13" s="33">
        <f t="shared" ca="1" si="16"/>
        <v>0</v>
      </c>
      <c r="T13" s="33">
        <f t="shared" ca="1" si="16"/>
        <v>0.58333333333333337</v>
      </c>
      <c r="U13" s="33">
        <f t="shared" ca="1" si="16"/>
        <v>0</v>
      </c>
      <c r="V13" s="33">
        <f t="shared" ca="1" si="16"/>
        <v>-12.375</v>
      </c>
      <c r="X13" s="34" t="s">
        <v>36</v>
      </c>
      <c r="Y13" s="34" t="str">
        <f t="array" aca="1" ref="Y13" ca="1">IF(MIN(IF(P13:U13&gt;=0,1,-1))=1,"Não","Sim")</f>
        <v>Sim</v>
      </c>
      <c r="Z13" s="34" t="str">
        <f ca="1">IF(Y13="Sim",INDEX(P12:U12,0,MATCH(MIN(P13:U13),P13:U13,0))," ")</f>
        <v>x3</v>
      </c>
      <c r="AC13" s="32" t="str">
        <f>AC4</f>
        <v>-z</v>
      </c>
      <c r="AD13" s="33">
        <f t="shared" ref="AD13:AK13" ca="1" si="17">IF($AC13=$AO4,IF(AD$3=$AO4,AD4/AD4,AD4/$AN10),IF(AD$3=$AO4,0,AD4+(-1*INDEX($AD4:$AK4,0,MATCH($AO4,$BU$3:$CC$3,0)))*INDEX($AD5:$AK7,MATCH($AN9,$AC5:$AC7,0),MATCH(AD$3,$BU$3:$CC$3,0))/$AN10))</f>
        <v>-4.2</v>
      </c>
      <c r="AE13" s="33">
        <f t="shared" ca="1" si="17"/>
        <v>-0.79999999999999982</v>
      </c>
      <c r="AF13" s="33">
        <f t="shared" si="17"/>
        <v>0</v>
      </c>
      <c r="AG13" s="33">
        <f t="shared" ca="1" si="17"/>
        <v>-2</v>
      </c>
      <c r="AH13" s="33">
        <f t="shared" ca="1" si="17"/>
        <v>0</v>
      </c>
      <c r="AI13" s="33">
        <f t="shared" ca="1" si="17"/>
        <v>0.8</v>
      </c>
      <c r="AJ13" s="33">
        <f t="shared" ca="1" si="17"/>
        <v>0</v>
      </c>
      <c r="AK13" s="33" t="e">
        <f t="shared" ca="1" si="17"/>
        <v>#REF!</v>
      </c>
      <c r="AL13" s="34"/>
      <c r="AM13" s="34" t="s">
        <v>36</v>
      </c>
      <c r="AN13" s="34" t="str">
        <f t="array" aca="1" ref="AN13" ca="1">IF(MIN(IF(AD13:AJ13&gt;=0,1,-1))=1,"Não","Sim")</f>
        <v>Sim</v>
      </c>
      <c r="AO13" s="34" t="str">
        <f ca="1">IF(AN13="Sim",INDEX(AD12:AJ12,0,MATCH(MIN(AD13:AJ13),AD13:AJ13,0))," ")</f>
        <v>x1</v>
      </c>
      <c r="AR13" s="32" t="str">
        <f ca="1">IF(AR5=BB8,BC4,AR5)</f>
        <v>x1</v>
      </c>
      <c r="AS13" s="38">
        <f ca="1">IF($AR13=$BC4,IF(AS$3=$BC4,AS5/AS5,AS5/$BB9),IF(AS$3=$BC4,0,AS5+(-1*INDEX($AS5:$AY5,0,MATCH($BC4,$AS$3:$AY$3,0)))*INDEX($AS5:$AY6,MATCH($BB8,$AR5:$AR6,0),MATCH(AS$3,$AS$3:$AY$3,0))/$BB9))</f>
        <v>1</v>
      </c>
      <c r="AT13" s="38">
        <f t="shared" ref="AT13:AY13" ca="1" si="18">IF($AR13=$BC4,IF(AT$3=$BC4,AT5/AT5,AT5/$BB9),IF(AT$3=$BC4,0,AT5+(-1*INDEX($AS5:$AY5,0,MATCH($BC4,$AS$3:$AY$3,0)))*INDEX($AS5:$AY6,MATCH($BB8,$AR5:$AR6,0),MATCH(AT$3,$AS$3:$AY$3,0))/$BB9))</f>
        <v>-0.02</v>
      </c>
      <c r="AU13" s="38">
        <f t="shared" ca="1" si="18"/>
        <v>-3.7999999999999999E-2</v>
      </c>
      <c r="AV13" s="38">
        <f t="shared" ca="1" si="18"/>
        <v>0</v>
      </c>
      <c r="AW13" s="38">
        <f t="shared" ca="1" si="18"/>
        <v>2.8000000000000001E-2</v>
      </c>
      <c r="AX13" s="38">
        <f t="shared" ca="1" si="18"/>
        <v>-1.2E-2</v>
      </c>
      <c r="AY13" s="38">
        <f t="shared" ca="1" si="18"/>
        <v>4</v>
      </c>
      <c r="BA13" s="34" t="e">
        <f ca="1">_xlfn.CONCAT(BC13," = ",IF(INT(AY13)=AY13,AY13,TEXT(AY13,"??/??"))," ÷ ",IF(INT(INDEX(AS13:AX13,0,MATCH(BC13,AS$3:AX$3,0)))=INDEX(AS13:AX13,0,MATCH(BC13,AS$3:AX$3,0)),INDEX(AS13:AX13,0,MATCH(BC13,AS$3:AX$3,0)),TEXT(INDEX(AS13:AX13,0,MATCH(BC13,AS$3:AX$3,0)),"??/??"))," = ")</f>
        <v>#N/A</v>
      </c>
      <c r="BB13" s="35" t="e">
        <f ca="1">IF(AY13/INDEX(AS13:AX13,0,MATCH(BC13,AS$3:AX$3,0))&lt;0,"Nao zera",AY13/INDEX(AS13:AX13,0,MATCH(BC13,AS$3:AX$3,0)))</f>
        <v>#N/A</v>
      </c>
      <c r="BC13" s="25" t="str">
        <f ca="1">BC12</f>
        <v xml:space="preserve"> </v>
      </c>
      <c r="BG13" s="32" t="str">
        <f ca="1">IF(BG5=BP8,BQ4,BG5)</f>
        <v>x1</v>
      </c>
      <c r="BH13" s="38">
        <f ca="1">IF($BG13=$BQ4,IF(BH$3=$BQ4,BH5/BH5,BH5/$BP9),IF(BH$3=$BQ4,0,BH5+(-1*INDEX($BH5:$BM5,0,MATCH($BQ4,$BH$3:$BM$3,0)))*INDEX($BH5:$BM6,MATCH($BP8,$BG5:$BG6,0),MATCH(BH$3,$BH$3:$BM$3,0))/$BP9))</f>
        <v>1</v>
      </c>
      <c r="BI13" s="38">
        <f t="shared" ref="BI13:BM13" ca="1" si="19">IF($BG13=$BQ4,IF(BI$3=$BQ4,BI5/BI5,BI5/$BP9),IF(BI$3=$BQ4,0,BI5+(-1*INDEX($BH5:$BM5,0,MATCH($BQ4,$BH$3:$BM$3,0)))*INDEX($BH5:$BM6,MATCH($BP8,$BG5:$BG6,0),MATCH(BI$3,$BH$3:$BM$3,0))/$BP9))</f>
        <v>0.5</v>
      </c>
      <c r="BJ13" s="38">
        <f t="shared" ca="1" si="19"/>
        <v>0.66666666666666663</v>
      </c>
      <c r="BK13" s="38">
        <f t="shared" ca="1" si="19"/>
        <v>0.16666666666666666</v>
      </c>
      <c r="BL13" s="38">
        <f t="shared" ca="1" si="19"/>
        <v>0</v>
      </c>
      <c r="BM13" s="38">
        <f t="shared" ca="1" si="19"/>
        <v>4</v>
      </c>
      <c r="BO13" s="34" t="e">
        <f ca="1">_xlfn.CONCAT(BQ13," = ",IF(INT(BM13)=BM13,BM13,TEXT(BM13,"??/??"))," ÷ ",IF(INT(INDEX(BH13:BL13,0,MATCH(BQ13,BH$3:BL$3,0)))=INDEX(BH13:BL13,0,MATCH(BQ13,BH$3:BL$3,0)),INDEX(BH13:BL13,0,MATCH(BQ13,BH$3:BL$3,0)),TEXT(INDEX(BH13:BL13,0,MATCH(BQ13,BH$3:BL$3,0)),"??/??"))," = ")</f>
        <v>#N/A</v>
      </c>
      <c r="BP13" s="35" t="e">
        <f ca="1">IF(BM13/INDEX(BH13:BL13,0,MATCH(BQ13,BH$3:BL$3,0))&lt;0,"Nao zera",BM13/INDEX(BH13:BL13,0,MATCH(BQ13,BH$3:BL$3,0)))</f>
        <v>#N/A</v>
      </c>
      <c r="BQ13" s="25" t="str">
        <f ca="1">BQ12</f>
        <v xml:space="preserve"> </v>
      </c>
      <c r="BT13" s="32"/>
      <c r="BU13" s="32" t="str">
        <f>BU3</f>
        <v>x1</v>
      </c>
      <c r="BV13" s="32" t="str">
        <f t="shared" ref="BV13:CC13" si="20">BV3</f>
        <v>x2</v>
      </c>
      <c r="BW13" s="32" t="str">
        <f t="shared" si="20"/>
        <v>x3</v>
      </c>
      <c r="BX13" s="32" t="str">
        <f t="shared" si="20"/>
        <v>x4</v>
      </c>
      <c r="BY13" s="32" t="str">
        <f t="shared" si="20"/>
        <v>x5</v>
      </c>
      <c r="BZ13" s="32" t="str">
        <f t="shared" si="20"/>
        <v>x6</v>
      </c>
      <c r="CA13" s="32" t="str">
        <f t="shared" si="20"/>
        <v>x7</v>
      </c>
      <c r="CB13" s="32" t="str">
        <f t="shared" si="20"/>
        <v>x8</v>
      </c>
      <c r="CC13" s="32" t="str">
        <f t="shared" si="20"/>
        <v>-z0</v>
      </c>
    </row>
    <row r="14" spans="1:85" x14ac:dyDescent="0.25">
      <c r="B14" s="30" t="str">
        <f ca="1">IF(B5=K9,L4,B5)</f>
        <v>x3</v>
      </c>
      <c r="C14" s="31">
        <f ca="1">IF($B14=$L5,IF(C$3=$L5,C5/C5,C5/$K10),IF(C$3=$L5,0,C5+(-1*INDEX($C5:$H5,0,MATCH($L5,$C$3:$H$3,0)))*INDEX($C5:$H7,MATCH($K9,$B5:$B7,0),MATCH(C$3,$C$3:$H$3,0))/$K10))</f>
        <v>0</v>
      </c>
      <c r="D14" s="31">
        <f t="shared" ref="D14:H14" ca="1" si="21">IF($B14=$L5,IF(D$3=$L5,D5/D5,D5/$K10),IF(D$3=$L5,0,D5+(-1*INDEX($C5:$H5,0,MATCH($L5,$C$3:$H$3,0)))*INDEX($C5:$H7,MATCH($K9,$B5:$B7,0),MATCH(D$3,$C$3:$H$3,0))/$K10))</f>
        <v>0.66666666666666663</v>
      </c>
      <c r="E14" s="31">
        <f t="shared" ca="1" si="21"/>
        <v>1</v>
      </c>
      <c r="F14" s="31">
        <f t="shared" ca="1" si="21"/>
        <v>-0.44444444444444442</v>
      </c>
      <c r="G14" s="31">
        <f t="shared" ca="1" si="21"/>
        <v>0</v>
      </c>
      <c r="H14" s="31">
        <f t="shared" ca="1" si="21"/>
        <v>2</v>
      </c>
      <c r="J14" t="str">
        <f ca="1">_xlfn.CONCAT(L14," = ",IF(INT(H14)=H14,H14,TEXT(H14,"??/??"))," ÷ ",IF(INT(INDEX(C14:G14,0,MATCH(L14,C$3:G$3,0)))=INDEX(C14:G14,0,MATCH(L14,C$3:G$3,0)),INDEX(C14:G14,0,MATCH(L14,C$3:G$3,0)),TEXT(INDEX(C14:G14,0,MATCH(L14,C$3:G$3,0)),"??/??"))," = ")</f>
        <v xml:space="preserve">x2 = 2 ÷  2/3  = </v>
      </c>
      <c r="K14" s="24">
        <f ca="1">IF(H14/INDEX(C14:G14,0,MATCH(L14,C$3:G$3,0))&lt;0,"Nao zera",H14/INDEX(C14:G14,0,MATCH(L14,C$3:G$3,0)))</f>
        <v>3</v>
      </c>
      <c r="L14" s="25" t="str">
        <f ca="1">L13</f>
        <v>x2</v>
      </c>
      <c r="O14" s="32" t="str">
        <f ca="1">IF(O5=Y9,Z4,O5)</f>
        <v>x4</v>
      </c>
      <c r="P14" s="33">
        <f ca="1">IF($O14=$Z4,IF(P$3=$Z4,P5/P5,P5/$Y10),IF(P$3=$Z4,0,P5+(-1*INDEX($P5:$V5,0,MATCH($Z4,$P$3:$V$3,0)))*INDEX($P5:$V7,MATCH($Y9,$O5:$O7,0),MATCH(P$3,$P$3:$V$3,0))/$Y10))</f>
        <v>0.88888888888888928</v>
      </c>
      <c r="Q14" s="33">
        <f t="shared" ref="Q14:V14" ca="1" si="22">IF($O14=$Z4,IF(Q$3=$Z4,Q5/Q5,Q5/$Y10),IF(Q$3=$Z4,0,Q5+(-1*INDEX($P5:$V5,0,MATCH($Z4,$P$3:$V$3,0)))*INDEX($P5:$V7,MATCH($Y9,$O5:$O7,0),MATCH(Q$3,$P$3:$V$3,0))/$Y10))</f>
        <v>0</v>
      </c>
      <c r="R14" s="33">
        <f t="shared" ca="1" si="22"/>
        <v>0.66666666666666663</v>
      </c>
      <c r="S14" s="33">
        <f t="shared" ca="1" si="22"/>
        <v>1</v>
      </c>
      <c r="T14" s="33">
        <f t="shared" ca="1" si="22"/>
        <v>-0.44444444444444442</v>
      </c>
      <c r="U14" s="33">
        <f t="shared" ca="1" si="22"/>
        <v>0</v>
      </c>
      <c r="V14" s="33">
        <f t="shared" ca="1" si="22"/>
        <v>2</v>
      </c>
      <c r="X14" s="34" t="str">
        <f ca="1">_xlfn.CONCAT(Z14," = ",IF(INT(V14)=V14,V14,TEXT(V14,"??/??"))," ÷ ",IF(INT(INDEX(P14:U14,0,MATCH(Z14,P$3:U$3,0)))=INDEX(P14:U14,0,MATCH(Z14,P$3:U$3,0)),INDEX(P14:U14,0,MATCH(Z14,P$3:U$3,0)),TEXT(INDEX(P14:U14,0,MATCH(Z14,P$3:U$3,0)),"??/??"))," = ")</f>
        <v xml:space="preserve">x3 = 2 ÷  2/3  = </v>
      </c>
      <c r="Y14" s="35">
        <f ca="1">IF(V14/INDEX(P14:U14,0,MATCH(Z14,P$3:U$3,0))&lt;0,"Nao zera",V14/INDEX(P14:U14,0,MATCH(Z14,P$3:U$3,0)))</f>
        <v>3</v>
      </c>
      <c r="Z14" s="25" t="str">
        <f ca="1">Z13</f>
        <v>x3</v>
      </c>
      <c r="AC14" s="32" t="str">
        <f ca="1">IF(AC5=AN9,AO4,AC5)</f>
        <v>x5</v>
      </c>
      <c r="AD14" s="33">
        <f t="shared" ref="AD14:AK14" ca="1" si="23">IF($AC14=$AO4,IF(AD$3=$AO4,AD5/AD5,AD5/$AN10),IF(AD$3=$AO4,0,AD5+(-1*INDEX($AD5:$AK5,0,MATCH($AO4,$BU$3:$CC$3,0)))*INDEX($AD5:$AK7,MATCH($AN9,$AC5:$AC7,0),MATCH(AD$3,$BU$3:$CC$3,0))/$AN10))</f>
        <v>4.5</v>
      </c>
      <c r="AE14" s="33">
        <f t="shared" ca="1" si="23"/>
        <v>-1</v>
      </c>
      <c r="AF14" s="33">
        <f t="shared" ca="1" si="23"/>
        <v>0</v>
      </c>
      <c r="AG14" s="33">
        <f t="shared" ca="1" si="23"/>
        <v>7.5</v>
      </c>
      <c r="AH14" s="33">
        <f t="shared" ca="1" si="23"/>
        <v>1</v>
      </c>
      <c r="AI14" s="33">
        <f t="shared" ca="1" si="23"/>
        <v>-0.5</v>
      </c>
      <c r="AJ14" s="33">
        <f t="shared" ca="1" si="23"/>
        <v>0</v>
      </c>
      <c r="AK14" s="33" t="e">
        <f t="shared" ca="1" si="23"/>
        <v>#REF!</v>
      </c>
      <c r="AL14" s="34"/>
      <c r="AM14" s="34" t="e">
        <f ca="1">_xlfn.CONCAT(AO14," = ",IF(INT(AK14)=AK14,AK14,TEXT(AK14,"??/??"))," ÷ ",IF(INT(INDEX(AD14:AJ14,0,MATCH(AO14,AD$3:AJ$3,0)))=INDEX(AD14:AJ14,0,MATCH(AO14,AD$3:AJ$3,0)),INDEX(AD14:AJ14,0,MATCH(AO14,AD$3:AJ$3,0)),TEXT(INDEX(AD14:AJ14,0,MATCH(AO14,AD$3:AJ$3,0)),"??/??"))," = ")</f>
        <v>#REF!</v>
      </c>
      <c r="AN14" s="35" t="e">
        <f ca="1">IF(AK14/INDEX(AD14:AJ14,0,MATCH(AO14,AD$3:AJ$3,0))&lt;0,"Nao zera",AK14/INDEX(AD14:AJ14,0,MATCH(AO14,AD$3:AJ$3,0)))</f>
        <v>#REF!</v>
      </c>
      <c r="AO14" s="25" t="str">
        <f ca="1">AO13</f>
        <v>x1</v>
      </c>
      <c r="AR14" s="32" t="str">
        <f ca="1">IF(AR6=BB8,BC4,AR6)</f>
        <v>x4</v>
      </c>
      <c r="AS14" s="38">
        <f ca="1">IF($AR14=$BC4,IF(AS$3=$BC4,AS6/AS6,AS6/$BB9),IF(AS$3=$BC4,0,AS6+(-1*INDEX($AS6:$AY6,0,MATCH($BC4,$AS$3:$AY$3,0)))*INDEX($AS5:$AY6,MATCH($BB8,$AR5:$AR6,0),MATCH(AS$3,$AS$3:$AY$3,0))/$BB9))</f>
        <v>0</v>
      </c>
      <c r="AT14" s="38">
        <f t="shared" ref="AT14:AY14" ca="1" si="24">IF($AR14=$BC4,IF(AT$3=$BC4,AT6/AT6,AT6/$BB9),IF(AT$3=$BC4,0,AT6+(-1*INDEX($AS6:$AY6,0,MATCH($BC4,$AS$3:$AY$3,0)))*INDEX($AS5:$AY6,MATCH($BB8,$AR5:$AR6,0),MATCH(AT$3,$AS$3:$AY$3,0))/$BB9))</f>
        <v>0.6</v>
      </c>
      <c r="AU14" s="38">
        <f t="shared" ca="1" si="24"/>
        <v>0.13999999999999999</v>
      </c>
      <c r="AV14" s="38">
        <f t="shared" ca="1" si="24"/>
        <v>1</v>
      </c>
      <c r="AW14" s="38">
        <f t="shared" ca="1" si="24"/>
        <v>-0.04</v>
      </c>
      <c r="AX14" s="38">
        <f t="shared" ca="1" si="24"/>
        <v>0.16</v>
      </c>
      <c r="AY14" s="38">
        <f t="shared" ca="1" si="24"/>
        <v>80</v>
      </c>
      <c r="BA14" s="34" t="e">
        <f t="shared" ref="BA14" ca="1" si="25">_xlfn.CONCAT(BC14," = ",IF(INT(AY14)=AY14,AY14,TEXT(AY14,"??/??"))," ÷ ",IF(INT(INDEX(AS14:AX14,0,MATCH(BC14,AS$3:AX$3,0)))=INDEX(AS14:AX14,0,MATCH(BC14,AS$3:AX$3,0)),INDEX(AS14:AX14,0,MATCH(BC14,AS$3:AX$3,0)),TEXT(INDEX(AS14:AX14,0,MATCH(BC14,AS$3:AX$3,0)),"??/??"))," = ")</f>
        <v>#N/A</v>
      </c>
      <c r="BB14" s="35" t="e">
        <f t="shared" ref="BB14" ca="1" si="26">IF(AY14/INDEX(AS14:AX14,0,MATCH(BC14,AS$3:AX$3,0))&lt;0,"Nao zera",AY14/INDEX(AS14:AX14,0,MATCH(BC14,AS$3:AX$3,0)))</f>
        <v>#N/A</v>
      </c>
      <c r="BC14" s="25" t="str">
        <f ca="1">BC12</f>
        <v xml:space="preserve"> </v>
      </c>
      <c r="BG14" s="32" t="str">
        <f ca="1">IF(BG6=BP8,BQ4,BG6)</f>
        <v>x5</v>
      </c>
      <c r="BH14" s="38">
        <f ca="1">IF($BG14=$BQ4,IF(BH$3=$BQ4,BH6/BH6,BH6/$BP9),IF(BH$3=$BQ4,0,BH6+(-1*INDEX($BH6:$BM6,0,MATCH($BQ4,$BH$3:$BM$3,0)))*INDEX($BH5:$BM6,MATCH($BP8,$BG5:$BG6,0),MATCH(BH$3,$BH$3:$BM$3,0))/$BP9))</f>
        <v>0</v>
      </c>
      <c r="BI14" s="38">
        <f t="shared" ref="BI14:BM14" ca="1" si="27">IF($BG14=$BQ4,IF(BI$3=$BQ4,BI6/BI6,BI6/$BP9),IF(BI$3=$BQ4,0,BI6+(-1*INDEX($BH6:$BM6,0,MATCH($BQ4,$BH$3:$BM$3,0)))*INDEX($BH5:$BM6,MATCH($BP8,$BG5:$BG6,0),MATCH(BI$3,$BH$3:$BM$3,0))/$BP9))</f>
        <v>9</v>
      </c>
      <c r="BJ14" s="38">
        <f t="shared" ca="1" si="27"/>
        <v>0</v>
      </c>
      <c r="BK14" s="38">
        <f t="shared" ca="1" si="27"/>
        <v>-1</v>
      </c>
      <c r="BL14" s="38">
        <f t="shared" ca="1" si="27"/>
        <v>1</v>
      </c>
      <c r="BM14" s="38">
        <f t="shared" ca="1" si="27"/>
        <v>24</v>
      </c>
      <c r="BO14" s="34" t="e">
        <f ca="1">_xlfn.CONCAT(BQ14," = ",IF(INT(BM14)=BM14,BM14,TEXT(BM14,"??/??"))," ÷ ",IF(INT(INDEX(BH14:BL14,0,MATCH(BQ14,BH$3:BL$3,0)))=INDEX(BH14:BL14,0,MATCH(BQ14,BH$3:BL$3,0)),INDEX(BH14:BL14,0,MATCH(BQ14,BH$3:BL$3,0)),TEXT(INDEX(BH14:BL14,0,MATCH(BQ14,BH$3:BL$3,0)),"??/??"))," = ")</f>
        <v>#N/A</v>
      </c>
      <c r="BP14" s="35" t="e">
        <f ca="1">IF(BM14/INDEX(BH14:BL14,0,MATCH(BQ14,BH$3:BL$3,0))&lt;0,"Nao zera",BM14/INDEX(BH14:BL14,0,MATCH(BQ14,BH$3:BL$3,0)))</f>
        <v>#N/A</v>
      </c>
      <c r="BQ14" s="25" t="str">
        <f ca="1">BQ12</f>
        <v xml:space="preserve"> </v>
      </c>
      <c r="BT14" s="32" t="str">
        <f>BT4</f>
        <v>-z</v>
      </c>
      <c r="BU14" s="38">
        <f>IF($BT14=$CG4,IF(BU$3=$CG4,BU4/BU4,BU4/$CF10),IF(BU$3=$CG4,0,BU4+(-1*INDEX($BU4:$CC4,0,MATCH($CG4,$BU$3:$CC$3,0)))*INDEX($BU5:$CC8,MATCH($CF9,$BT5:$BT8,0),MATCH(BU$3,$BU$3:$CC$3,0))/$CF10))</f>
        <v>0</v>
      </c>
      <c r="BV14" s="38">
        <f t="shared" ref="BV14:CC14" ca="1" si="28">IF($BT14=$CG4,IF(BV$3=$CG4,BV4/BV4,BV4/$CF10),IF(BV$3=$CG4,0,BV4+(-1*INDEX($BU4:$CC4,0,MATCH($CG4,$BU$3:$CC$3,0)))*INDEX($BU5:$CC8,MATCH($CF9,$BT5:$BT8,0),MATCH(BV$3,$BU$3:$CC$3,0))/$CF10))</f>
        <v>-0.16666666666666663</v>
      </c>
      <c r="BW14" s="38">
        <f t="shared" ca="1" si="28"/>
        <v>0.83333333333333337</v>
      </c>
      <c r="BX14" s="38">
        <f t="shared" ca="1" si="28"/>
        <v>2.5</v>
      </c>
      <c r="BY14" s="38">
        <f t="shared" ca="1" si="28"/>
        <v>0</v>
      </c>
      <c r="BZ14" s="38">
        <f t="shared" ca="1" si="28"/>
        <v>0</v>
      </c>
      <c r="CA14" s="38">
        <f t="shared" ca="1" si="28"/>
        <v>0</v>
      </c>
      <c r="CB14" s="38">
        <f t="shared" ca="1" si="28"/>
        <v>1.6666666666666667</v>
      </c>
      <c r="CC14" s="38">
        <f t="shared" ca="1" si="28"/>
        <v>55</v>
      </c>
      <c r="CE14" s="34" t="s">
        <v>36</v>
      </c>
      <c r="CF14" s="34" t="str">
        <f t="array" aca="1" ref="CF14" ca="1">IF(MIN(IF(BU14:CB14&gt;=0,1,-1))=1,"Não","Sim")</f>
        <v>Sim</v>
      </c>
      <c r="CG14" s="34" t="str">
        <f ca="1">IF(CF14="Sim",INDEX(BU13:CB13,0,MATCH(MIN(BU14:CB14),BU14:CB14,0))," ")</f>
        <v>x2</v>
      </c>
    </row>
    <row r="15" spans="1:85" x14ac:dyDescent="0.25">
      <c r="B15" s="30" t="str">
        <f ca="1">IF(B6=K9,L4,B6)</f>
        <v>x1</v>
      </c>
      <c r="C15" s="31">
        <f ca="1">IF($B15=$L6,IF(C$3=$L6,C6/C6,C6/$K10),IF(C$3=$L6,0,C6+(-1*INDEX($C6:$H6,0,MATCH($L6,$C$3:$H$3,0)))*INDEX($C5:$H7,MATCH($K9,$B5:$B7,0),MATCH(C$3,$C$3:$H$3,0))/$K10))</f>
        <v>1</v>
      </c>
      <c r="D15" s="31">
        <f t="shared" ref="D15:H15" ca="1" si="29">IF($B15=$L6,IF(D$3=$L6,D6/D6,D6/$K10),IF(D$3=$L6,0,D6+(-1*INDEX($C6:$H6,0,MATCH($L6,$C$3:$H$3,0)))*INDEX($C5:$H7,MATCH($K9,$B5:$B7,0),MATCH(D$3,$C$3:$H$3,0))/$K10))</f>
        <v>-0.5</v>
      </c>
      <c r="E15" s="31">
        <f t="shared" ca="1" si="29"/>
        <v>0</v>
      </c>
      <c r="F15" s="31">
        <f t="shared" ca="1" si="29"/>
        <v>0.66666666666666663</v>
      </c>
      <c r="G15" s="31">
        <f t="shared" ca="1" si="29"/>
        <v>0</v>
      </c>
      <c r="H15" s="31">
        <f t="shared" ca="1" si="29"/>
        <v>3</v>
      </c>
      <c r="J15" t="str">
        <f ca="1">_xlfn.CONCAT(L15," = ",IF(INT(H15)=H15,H15,TEXT(H15,"??/??"))," ÷ ",IF(INT(INDEX(C15:G15,0,MATCH(L15,C$3:G$3,0)))=INDEX(C15:G15,0,MATCH(L15,C$3:G$3,0)),INDEX(C15:G15,0,MATCH(L15,C$3:G$3,0)),TEXT(INDEX(C15:G15,0,MATCH(L15,C$3:G$3,0)),"??/??"))," = ")</f>
        <v xml:space="preserve">x2 = 3 ÷ - 1/2  = </v>
      </c>
      <c r="K15" s="24" t="str">
        <f ca="1">IF(H15/INDEX(C15:G15,0,MATCH(L15,C$3:G$3,0))&lt;0,"Nao zera",H15/INDEX(C15:G15,0,MATCH(L15,C$3:G$3,0)))</f>
        <v>Nao zera</v>
      </c>
      <c r="L15" s="25" t="str">
        <f ca="1">L13</f>
        <v>x2</v>
      </c>
      <c r="O15" s="32" t="str">
        <f ca="1">IF(O6=Y9,Z4,O6)</f>
        <v>x2</v>
      </c>
      <c r="P15" s="33">
        <f ca="1">IF($O15=$Z4,IF(P$3=$Z4,P6/P6,P6/$Y10),IF(P$3=$Z4,0,P6+(-1*INDEX($P6:$V6,0,MATCH($Z4,$P$3:$V$3,0)))*INDEX($P5:$V7,MATCH($Y9,$O5:$O7,0),MATCH(P$3,$P$3:$V$3,0))/$Y10))</f>
        <v>3.6666666666666665</v>
      </c>
      <c r="Q15" s="33">
        <f t="shared" ref="Q15:V15" ca="1" si="30">IF($O15=$Z4,IF(Q$3=$Z4,Q6/Q6,Q6/$Y10),IF(Q$3=$Z4,0,Q6+(-1*INDEX($P6:$V6,0,MATCH($Z4,$P$3:$V$3,0)))*INDEX($P5:$V7,MATCH($Y9,$O5:$O7,0),MATCH(Q$3,$P$3:$V$3,0))/$Y10))</f>
        <v>1</v>
      </c>
      <c r="R15" s="33">
        <f t="shared" ca="1" si="30"/>
        <v>-0.5</v>
      </c>
      <c r="S15" s="33">
        <f t="shared" ca="1" si="30"/>
        <v>0</v>
      </c>
      <c r="T15" s="33">
        <f t="shared" ca="1" si="30"/>
        <v>0.66666666666666663</v>
      </c>
      <c r="U15" s="33">
        <f t="shared" ca="1" si="30"/>
        <v>0</v>
      </c>
      <c r="V15" s="33">
        <f t="shared" ca="1" si="30"/>
        <v>3</v>
      </c>
      <c r="X15" s="34" t="str">
        <f t="shared" ref="X15:X16" ca="1" si="31">_xlfn.CONCAT(Z15," = ",IF(INT(V15)=V15,V15,TEXT(V15,"??/??"))," ÷ ",IF(INT(INDEX(P15:U15,0,MATCH(Z15,P$3:U$3,0)))=INDEX(P15:U15,0,MATCH(Z15,P$3:U$3,0)),INDEX(P15:U15,0,MATCH(Z15,P$3:U$3,0)),TEXT(INDEX(P15:U15,0,MATCH(Z15,P$3:U$3,0)),"??/??"))," = ")</f>
        <v xml:space="preserve">x3 = 3 ÷ - 1/2  = </v>
      </c>
      <c r="Y15" s="35" t="str">
        <f t="shared" ref="Y15:Y16" ca="1" si="32">IF(V15/INDEX(P15:U15,0,MATCH(Z15,P$3:U$3,0))&lt;0,"Nao zera",V15/INDEX(P15:U15,0,MATCH(Z15,P$3:U$3,0)))</f>
        <v>Nao zera</v>
      </c>
      <c r="Z15" s="25" t="str">
        <f ca="1">Z13</f>
        <v>x3</v>
      </c>
      <c r="AC15" s="32" t="str">
        <f ca="1">IF(AC6=AN9,AO4,AC6)</f>
        <v>x3</v>
      </c>
      <c r="AD15" s="33">
        <f t="shared" ref="AD15:AK15" ca="1" si="33">IF($AC15=$AO4,IF(AD$3=$AO4,AD6/AD6,AD6/$AN10),IF(AD$3=$AO4,0,AD6+(-1*INDEX($AD6:$AK6,0,MATCH($AO4,$BU$3:$CC$3,0)))*INDEX($AD5:$AK7,MATCH($AN9,$AC5:$AC7,0),MATCH(AD$3,$BU$3:$CC$3,0))/$AN10))</f>
        <v>0.1</v>
      </c>
      <c r="AE15" s="33">
        <f t="shared" ca="1" si="33"/>
        <v>0.4</v>
      </c>
      <c r="AF15" s="33">
        <f t="shared" ca="1" si="33"/>
        <v>1</v>
      </c>
      <c r="AG15" s="33">
        <f t="shared" ca="1" si="33"/>
        <v>0.5</v>
      </c>
      <c r="AH15" s="33">
        <f t="shared" ca="1" si="33"/>
        <v>0</v>
      </c>
      <c r="AI15" s="33">
        <f t="shared" ca="1" si="33"/>
        <v>0.1</v>
      </c>
      <c r="AJ15" s="33">
        <f t="shared" ca="1" si="33"/>
        <v>0</v>
      </c>
      <c r="AK15" s="33">
        <f t="shared" ca="1" si="33"/>
        <v>10000</v>
      </c>
      <c r="AL15" s="34"/>
      <c r="AM15" s="34" t="str">
        <f t="shared" ref="AM15:AM16" ca="1" si="34">_xlfn.CONCAT(AO15," = ",IF(INT(AK15)=AK15,AK15,TEXT(AK15,"??/??"))," ÷ ",IF(INT(INDEX(AD15:AJ15,0,MATCH(AO15,AD$3:AJ$3,0)))=INDEX(AD15:AJ15,0,MATCH(AO15,AD$3:AJ$3,0)),INDEX(AD15:AJ15,0,MATCH(AO15,AD$3:AJ$3,0)),TEXT(INDEX(AD15:AJ15,0,MATCH(AO15,AD$3:AJ$3,0)),"??/??"))," = ")</f>
        <v xml:space="preserve">x1 = 10000 ÷  1/10 = </v>
      </c>
      <c r="AN15" s="35">
        <f t="shared" ref="AN15:AN16" ca="1" si="35">IF(AK15/INDEX(AD15:AJ15,0,MATCH(AO15,AD$3:AJ$3,0))&lt;0,"Nao zera",AK15/INDEX(AD15:AJ15,0,MATCH(AO15,AD$3:AJ$3,0)))</f>
        <v>100000</v>
      </c>
      <c r="AO15" s="25" t="str">
        <f ca="1">AO13</f>
        <v>x1</v>
      </c>
      <c r="BA15" s="34"/>
      <c r="BB15" s="35"/>
      <c r="BC15" s="25"/>
      <c r="BO15" s="34"/>
      <c r="BP15" s="35"/>
      <c r="BQ15" s="25"/>
      <c r="BT15" s="32" t="str">
        <f ca="1">IF(BT5=CF9,CG4,BT5)</f>
        <v>x5</v>
      </c>
      <c r="BU15" s="38">
        <f ca="1">IF($BT15=$CG4,IF(BU$3=$CG4,BU5/BU5,BU5/$CF10),IF(BU$3=$CG4,0,BU5+(-1*INDEX($BU5:$CC5,0,MATCH($CG4,$BU$3:$CC$3,0)))*INDEX($BU5:$CC8,MATCH($CF9,$BT5:$BT8,0),MATCH(BU$3,$BU$3:$CC$3,0))/$CF10))</f>
        <v>0</v>
      </c>
      <c r="BV15" s="38">
        <f t="shared" ref="BV15:CC15" ca="1" si="36">IF($BT15=$CG4,IF(BV$3=$CG4,BV5/BV5,BV5/$CF10),IF(BV$3=$CG4,0,BV5+(-1*INDEX($BU5:$CC5,0,MATCH($CG4,$BU$3:$CC$3,0)))*INDEX($BU5:$CC8,MATCH($CF9,$BT5:$BT8,0),MATCH(BV$3,$BU$3:$CC$3,0))/$CF10))</f>
        <v>0.16666666666666663</v>
      </c>
      <c r="BW15" s="38">
        <f t="shared" ca="1" si="36"/>
        <v>-1.8333333333333335</v>
      </c>
      <c r="BX15" s="38">
        <f t="shared" ca="1" si="36"/>
        <v>-0.5</v>
      </c>
      <c r="BY15" s="38">
        <f t="shared" ca="1" si="36"/>
        <v>1</v>
      </c>
      <c r="BZ15" s="38">
        <f t="shared" ca="1" si="36"/>
        <v>0</v>
      </c>
      <c r="CA15" s="38">
        <f t="shared" ca="1" si="36"/>
        <v>0</v>
      </c>
      <c r="CB15" s="38">
        <f t="shared" ca="1" si="36"/>
        <v>-1.6666666666666667</v>
      </c>
      <c r="CC15" s="38">
        <f t="shared" ca="1" si="36"/>
        <v>7</v>
      </c>
      <c r="CE15" s="34" t="str">
        <f ca="1">_xlfn.CONCAT(CG15," = ",IF(INT(CC15)=CC15,CC15,TEXT(CC15,"??/??"))," ÷ ",IF(INT(INDEX(BU15:CB15,0,MATCH(CG15,BU$3:CB$3,0)))=INDEX(BU15:CB15,0,MATCH(CG15,BU$3:CB$3,0)),INDEX(BU15:CB15,0,MATCH(CG15,BU$3:CB$3,0)),TEXT(INDEX(BU15:CB15,0,MATCH(CG15,BU$3:CB$3,0)),"??/??"))," = ")</f>
        <v xml:space="preserve">x2 = 7 ÷  1/6  = </v>
      </c>
      <c r="CF15" s="35">
        <f ca="1">IF(CC15/INDEX(BU15:CB15,0,MATCH(CG15,BU$3:CB$3,0))&lt;0,"Nao zera",CC15/INDEX(BU15:CB15,0,MATCH(CG15,BU$3:CB$3,0)))</f>
        <v>42.000000000000007</v>
      </c>
      <c r="CG15" s="25" t="str">
        <f ca="1">CG14</f>
        <v>x2</v>
      </c>
    </row>
    <row r="16" spans="1:85" x14ac:dyDescent="0.25">
      <c r="B16" s="30" t="str">
        <f ca="1">IF(B7=K9,L4,B7)</f>
        <v>x5</v>
      </c>
      <c r="C16" s="31">
        <f ca="1">IF($B16=$L7,IF(C$3=$L7,C7/C7,C7/$K10),IF(C$3=$L7,0,C7+(-1*INDEX($C7:$H7,0,MATCH($L7,$C$3:$H$3,0)))*INDEX($C5:$H7,MATCH($K9,$B5:$B7,0),MATCH(C$3,$C$3:$H$3,0))/$K10))</f>
        <v>0</v>
      </c>
      <c r="D16" s="31">
        <f t="shared" ref="D16:H16" ca="1" si="37">IF($B16=$L7,IF(D$3=$L7,D7/D7,D7/$K10),IF(D$3=$L7,0,D7+(-1*INDEX($C7:$H7,0,MATCH($L7,$C$3:$H$3,0)))*INDEX($C5:$H7,MATCH($K9,$B5:$B7,0),MATCH(D$3,$C$3:$H$3,0))/$K10))</f>
        <v>0.20833333333333331</v>
      </c>
      <c r="E16" s="31">
        <f t="shared" ca="1" si="37"/>
        <v>0</v>
      </c>
      <c r="F16" s="31">
        <f t="shared" ca="1" si="37"/>
        <v>0.16666666666666666</v>
      </c>
      <c r="G16" s="31">
        <f t="shared" ca="1" si="37"/>
        <v>1</v>
      </c>
      <c r="H16" s="31">
        <f t="shared" ca="1" si="37"/>
        <v>2.75</v>
      </c>
      <c r="J16" t="str">
        <f ca="1">_xlfn.CONCAT(L16," = ",IF(INT(H16)=H16,H16,TEXT(H16,"??/??"))," ÷ ",IF(INT(INDEX(C16:G16,0,MATCH(L16,C$3:G$3,0)))=INDEX(C16:G16,0,MATCH(L16,C$3:G$3,0)),INDEX(C16:G16,0,MATCH(L16,C$3:G$3,0)),TEXT(INDEX(C16:G16,0,MATCH(L16,C$3:G$3,0)),"??/??"))," = ")</f>
        <v xml:space="preserve">x2 = 11/4  ÷  5/24 = </v>
      </c>
      <c r="K16" s="24">
        <f ca="1">IF(H16/INDEX(C16:G16,0,MATCH(L16,C$3:G$3,0))&lt;0,"Nao zera",H16/INDEX(C16:G16,0,MATCH(L16,C$3:G$3,0)))</f>
        <v>13.200000000000001</v>
      </c>
      <c r="L16" s="25" t="str">
        <f ca="1">L13</f>
        <v>x2</v>
      </c>
      <c r="O16" s="32" t="str">
        <f ca="1">IF(O7=Y9,Z4,O7)</f>
        <v>x6</v>
      </c>
      <c r="P16" s="33">
        <f ca="1">IF($O16=$Z4,IF(P$3=$Z4,P7/P7,P7/$Y10),IF(P$3=$Z4,0,P7+(-1*INDEX($P7:$V7,0,MATCH($Z4,$P$3:$V$3,0)))*INDEX($P5:$V7,MATCH($Y9,$O5:$O7,0),MATCH(P$3,$P$3:$V$3,0))/$Y10))</f>
        <v>1.3452380952380951</v>
      </c>
      <c r="Q16" s="33">
        <f t="shared" ref="Q16:V16" ca="1" si="38">IF($O16=$Z4,IF(Q$3=$Z4,Q7/Q7,Q7/$Y10),IF(Q$3=$Z4,0,Q7+(-1*INDEX($P7:$V7,0,MATCH($Z4,$P$3:$V$3,0)))*INDEX($P5:$V7,MATCH($Y9,$O5:$O7,0),MATCH(Q$3,$P$3:$V$3,0))/$Y10))</f>
        <v>0</v>
      </c>
      <c r="R16" s="33">
        <f t="shared" ca="1" si="38"/>
        <v>0.20833333333333331</v>
      </c>
      <c r="S16" s="33">
        <f t="shared" ca="1" si="38"/>
        <v>0</v>
      </c>
      <c r="T16" s="33">
        <f t="shared" ca="1" si="38"/>
        <v>0.16666666666666666</v>
      </c>
      <c r="U16" s="33">
        <f t="shared" ca="1" si="38"/>
        <v>1</v>
      </c>
      <c r="V16" s="33">
        <f t="shared" ca="1" si="38"/>
        <v>2.75</v>
      </c>
      <c r="X16" s="34" t="str">
        <f t="shared" ca="1" si="31"/>
        <v xml:space="preserve">x3 = 11/4  ÷  5/24 = </v>
      </c>
      <c r="Y16" s="35">
        <f t="shared" ca="1" si="32"/>
        <v>13.200000000000001</v>
      </c>
      <c r="Z16" s="25" t="str">
        <f ca="1">Z13</f>
        <v>x3</v>
      </c>
      <c r="AC16" s="32" t="str">
        <f ca="1">IF(AC7=AN9,AO4,AC7)</f>
        <v>x7</v>
      </c>
      <c r="AD16" s="33">
        <f t="shared" ref="AD16:AK16" ca="1" si="39">IF($AC16=$AO4,IF(AD$3=$AO4,AD7/AD7,AD7/$AN10),IF(AD$3=$AO4,0,AD7+(-1*INDEX($AD7:$AK7,0,MATCH($AO4,$BU$3:$CC$3,0)))*INDEX($AD5:$AK7,MATCH($AN9,$AC5:$AC7,0),MATCH(AD$3,$BU$3:$CC$3,0))/$AN10))</f>
        <v>4.4000000000000004</v>
      </c>
      <c r="AE16" s="33">
        <f t="shared" ca="1" si="39"/>
        <v>0.60000000000000009</v>
      </c>
      <c r="AF16" s="33">
        <f t="shared" ca="1" si="39"/>
        <v>0</v>
      </c>
      <c r="AG16" s="33">
        <f t="shared" ca="1" si="39"/>
        <v>2</v>
      </c>
      <c r="AH16" s="33">
        <f t="shared" ca="1" si="39"/>
        <v>0</v>
      </c>
      <c r="AI16" s="33">
        <f t="shared" ca="1" si="39"/>
        <v>-0.6</v>
      </c>
      <c r="AJ16" s="33">
        <f t="shared" ca="1" si="39"/>
        <v>1</v>
      </c>
      <c r="AK16" s="33" t="e">
        <f t="shared" ca="1" si="39"/>
        <v>#REF!</v>
      </c>
      <c r="AL16" s="34"/>
      <c r="AM16" s="34" t="e">
        <f t="shared" ca="1" si="34"/>
        <v>#REF!</v>
      </c>
      <c r="AN16" s="35" t="e">
        <f t="shared" ca="1" si="35"/>
        <v>#REF!</v>
      </c>
      <c r="AO16" s="25" t="str">
        <f ca="1">AO13</f>
        <v>x1</v>
      </c>
      <c r="BA16" s="34" t="s">
        <v>37</v>
      </c>
      <c r="BB16" s="35" t="e">
        <f ca="1">OFFSET(AR13,MATCH(MIN(BB13:BB14),BB13:BB14,0)-1,0)</f>
        <v>#N/A</v>
      </c>
      <c r="BC16" s="25"/>
      <c r="BO16" s="34" t="s">
        <v>37</v>
      </c>
      <c r="BP16" s="35" t="e">
        <f ca="1">OFFSET(BG13,MATCH(MIN(BP13:BP14),BP13:BP14,0)-1,0)</f>
        <v>#N/A</v>
      </c>
      <c r="BQ16" s="25"/>
      <c r="BT16" s="32" t="str">
        <f ca="1">IF(BT6=CF9,CG4,BT6)</f>
        <v>x6</v>
      </c>
      <c r="BU16" s="38">
        <f ca="1">IF($BT16=$CG4,IF(BU$3=$CG4,BU6/BU6,BU6/$CF10),IF(BU$3=$CG4,0,BU6+(-1*INDEX($BU6:$CC6,0,MATCH($CG4,$BU$3:$CC$3,0)))*INDEX($BU5:$CC8,MATCH($CF9,$BT5:$BT8,0),MATCH(BU$3,$BU$3:$CC$3,0))/$CF10))</f>
        <v>0</v>
      </c>
      <c r="BV16" s="38">
        <f t="shared" ref="BV16:CC16" ca="1" si="40">IF($BT16=$CG4,IF(BV$3=$CG4,BV6/BV6,BV6/$CF10),IF(BV$3=$CG4,0,BV6+(-1*INDEX($BU6:$CC6,0,MATCH($CG4,$BU$3:$CC$3,0)))*INDEX($BU5:$CC8,MATCH($CF9,$BT5:$BT8,0),MATCH(BV$3,$BU$3:$CC$3,0))/$CF10))</f>
        <v>-0.66666666666666652</v>
      </c>
      <c r="BW16" s="38">
        <f t="shared" ca="1" si="40"/>
        <v>5.3333333333333339</v>
      </c>
      <c r="BX16" s="38">
        <f t="shared" ca="1" si="40"/>
        <v>2</v>
      </c>
      <c r="BY16" s="38">
        <f t="shared" ca="1" si="40"/>
        <v>0</v>
      </c>
      <c r="BZ16" s="38">
        <f t="shared" ca="1" si="40"/>
        <v>1</v>
      </c>
      <c r="CA16" s="38">
        <f t="shared" ca="1" si="40"/>
        <v>0</v>
      </c>
      <c r="CB16" s="38">
        <f t="shared" ca="1" si="40"/>
        <v>4.666666666666667</v>
      </c>
      <c r="CC16" s="38">
        <f t="shared" ca="1" si="40"/>
        <v>16</v>
      </c>
      <c r="CE16" s="34" t="str">
        <f t="shared" ref="CE16:CE18" ca="1" si="41">_xlfn.CONCAT(CG16," = ",IF(INT(CC16)=CC16,CC16,TEXT(CC16,"??/??"))," ÷ ",IF(INT(INDEX(BU16:CB16,0,MATCH(CG16,BU$3:CB$3,0)))=INDEX(BU16:CB16,0,MATCH(CG16,BU$3:CB$3,0)),INDEX(BU16:CB16,0,MATCH(CG16,BU$3:CB$3,0)),TEXT(INDEX(BU16:CB16,0,MATCH(CG16,BU$3:CB$3,0)),"??/??"))," = ")</f>
        <v xml:space="preserve">x2 = 16 ÷ - 2/3  = </v>
      </c>
      <c r="CF16" s="35" t="str">
        <f t="shared" ref="CF16:CF18" ca="1" si="42">IF(CC16/INDEX(BU16:CB16,0,MATCH(CG16,BU$3:CB$3,0))&lt;0,"Nao zera",CC16/INDEX(BU16:CB16,0,MATCH(CG16,BU$3:CB$3,0)))</f>
        <v>Nao zera</v>
      </c>
      <c r="CG16" s="25" t="str">
        <f ca="1">CG14</f>
        <v>x2</v>
      </c>
    </row>
    <row r="17" spans="2:85" x14ac:dyDescent="0.25">
      <c r="L17" s="25"/>
      <c r="X17" s="34"/>
      <c r="Y17" s="34"/>
      <c r="Z17" s="25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25"/>
      <c r="BA17" s="34" t="s">
        <v>38</v>
      </c>
      <c r="BB17" s="35" t="e">
        <f ca="1">INDEX(AS13:AX14,MATCH(BB16,AR13:AR14,0),MATCH(BC12,AS$3:AX$3,0))</f>
        <v>#N/A</v>
      </c>
      <c r="BC17" s="34"/>
      <c r="BO17" s="34" t="s">
        <v>38</v>
      </c>
      <c r="BP17" s="35" t="e">
        <f ca="1">INDEX(BH13:BL14,MATCH(BP16,BG13:BG14,0),MATCH(BQ12,BH$3:BL$3,0))</f>
        <v>#N/A</v>
      </c>
      <c r="BQ17" s="34"/>
      <c r="BT17" s="32" t="str">
        <f ca="1">IF(BT7=CF9,CG4,BT7)</f>
        <v>x7</v>
      </c>
      <c r="BU17" s="38">
        <f ca="1">IF($BT17=$CG4,IF(BU$3=$CG4,BU7/BU7,BU7/$CF10),IF(BU$3=$CG4,0,BU7+(-1*INDEX($BU7:$CC7,0,MATCH($CG4,$BU$3:$CC$3,0)))*INDEX($BU5:$CC8,MATCH($CF9,$BT5:$BT8,0),MATCH(BU$3,$BU$3:$CC$3,0))/$CF10))</f>
        <v>0</v>
      </c>
      <c r="BV17" s="38">
        <f t="shared" ref="BV17:CC17" ca="1" si="43">IF($BT17=$CG4,IF(BV$3=$CG4,BV7/BV7,BV7/$CF10),IF(BV$3=$CG4,0,BV7+(-1*INDEX($BU7:$CC7,0,MATCH($CG4,$BU$3:$CC$3,0)))*INDEX($BU5:$CC8,MATCH($CF9,$BT5:$BT8,0),MATCH(BV$3,$BU$3:$CC$3,0))/$CF10))</f>
        <v>0.16666666666666669</v>
      </c>
      <c r="BW17" s="38">
        <f t="shared" ca="1" si="43"/>
        <v>-0.83333333333333326</v>
      </c>
      <c r="BX17" s="38">
        <f t="shared" ca="1" si="43"/>
        <v>-0.5</v>
      </c>
      <c r="BY17" s="38">
        <f t="shared" ca="1" si="43"/>
        <v>0</v>
      </c>
      <c r="BZ17" s="38">
        <f t="shared" ca="1" si="43"/>
        <v>0</v>
      </c>
      <c r="CA17" s="38">
        <f t="shared" ca="1" si="43"/>
        <v>1</v>
      </c>
      <c r="CB17" s="38">
        <f t="shared" ca="1" si="43"/>
        <v>-0.66666666666666663</v>
      </c>
      <c r="CC17" s="38">
        <f t="shared" ca="1" si="43"/>
        <v>0.5</v>
      </c>
      <c r="CE17" s="34" t="str">
        <f t="shared" ca="1" si="41"/>
        <v xml:space="preserve">x2 =  1/2  ÷  1/6  = </v>
      </c>
      <c r="CF17" s="35">
        <f t="shared" ca="1" si="42"/>
        <v>2.9999999999999996</v>
      </c>
      <c r="CG17" s="25" t="str">
        <f ca="1">CG14</f>
        <v>x2</v>
      </c>
    </row>
    <row r="18" spans="2:85" x14ac:dyDescent="0.25">
      <c r="J18" t="s">
        <v>37</v>
      </c>
      <c r="K18" t="str">
        <f ca="1">OFFSET(B14,MATCH(MIN(K14:K16),K14:K16,0)-1,0)</f>
        <v>x3</v>
      </c>
      <c r="X18" s="34" t="s">
        <v>37</v>
      </c>
      <c r="Y18" s="35" t="str">
        <f ca="1">OFFSET(O14,MATCH(MIN(Y14:Y16),Y14:Y16,0)-1,0)</f>
        <v>x4</v>
      </c>
      <c r="Z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 t="s">
        <v>37</v>
      </c>
      <c r="AN18" s="35" t="e">
        <f ca="1">OFFSET(AC14,MATCH(MIN(AN14:AN16),AN14:AN16,0)-1,0)</f>
        <v>#REF!</v>
      </c>
      <c r="AO18" s="34"/>
      <c r="BT18" s="32" t="str">
        <f ca="1">IF(BT8=CF9,CG4,BT8)</f>
        <v>x1</v>
      </c>
      <c r="BU18" s="38">
        <f ca="1">IF($BT18=$CG4,IF(BU$3=$CG4,BU8/BU8,BU8/$CF10),IF(BU$3=$CG4,0,BU8+(-1*INDEX($BU8:$CC8,0,MATCH($CG4,$BU$3:$CC$3,0)))*INDEX($BU5:$CC8,MATCH($CF9,$BT5:$BT8,0),MATCH(BU$3,$BU$3:$CC$3,0))/$CF10))</f>
        <v>1</v>
      </c>
      <c r="BV18" s="38">
        <f t="shared" ref="BV18:CC18" ca="1" si="44">IF($BT18=$CG4,IF(BV$3=$CG4,BV8/BV8,BV8/$CF10),IF(BV$3=$CG4,0,BV8+(-1*INDEX($BU8:$CC8,0,MATCH($CG4,$BU$3:$CC$3,0)))*INDEX($BU5:$CC8,MATCH($CF9,$BT5:$BT8,0),MATCH(BV$3,$BU$3:$CC$3,0))/$CF10))</f>
        <v>0.16666666666666666</v>
      </c>
      <c r="BW18" s="38">
        <f t="shared" ca="1" si="44"/>
        <v>0.16666666666666666</v>
      </c>
      <c r="BX18" s="38">
        <f t="shared" ca="1" si="44"/>
        <v>0.5</v>
      </c>
      <c r="BY18" s="38">
        <f t="shared" ca="1" si="44"/>
        <v>0</v>
      </c>
      <c r="BZ18" s="38">
        <f t="shared" ca="1" si="44"/>
        <v>0</v>
      </c>
      <c r="CA18" s="38">
        <f t="shared" ca="1" si="44"/>
        <v>0</v>
      </c>
      <c r="CB18" s="38">
        <f t="shared" ca="1" si="44"/>
        <v>0.33333333333333331</v>
      </c>
      <c r="CC18" s="38">
        <f t="shared" ca="1" si="44"/>
        <v>1</v>
      </c>
      <c r="CE18" s="34" t="str">
        <f t="shared" ca="1" si="41"/>
        <v xml:space="preserve">x2 = 1 ÷  1/6  = </v>
      </c>
      <c r="CF18" s="35">
        <f t="shared" ca="1" si="42"/>
        <v>6</v>
      </c>
      <c r="CG18" s="25" t="str">
        <f ca="1">CG14</f>
        <v>x2</v>
      </c>
    </row>
    <row r="19" spans="2:85" x14ac:dyDescent="0.25">
      <c r="J19" t="s">
        <v>38</v>
      </c>
      <c r="K19" s="24">
        <f ca="1">INDEX(C14:G16,MATCH(K18,B14:B16,0),MATCH(L13,C$3:G$3,0))</f>
        <v>0.66666666666666663</v>
      </c>
      <c r="X19" s="34" t="s">
        <v>38</v>
      </c>
      <c r="Y19" s="35">
        <f ca="1">INDEX(P14:U16,MATCH(Y18,O14:O16,0),MATCH(Z13,P$3:U$3,0))</f>
        <v>0.66666666666666663</v>
      </c>
      <c r="Z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 t="s">
        <v>38</v>
      </c>
      <c r="AN19" s="35" t="e">
        <f ca="1">INDEX(AD14:AJ16,MATCH(AN18,AC14:AC16,0),MATCH(AO13,AD$3:AJ$3,0))</f>
        <v>#REF!</v>
      </c>
      <c r="AO19" s="34"/>
      <c r="AR19" s="32"/>
      <c r="AS19" s="32" t="str">
        <f>AS11</f>
        <v>x1</v>
      </c>
      <c r="AT19" s="32" t="str">
        <f t="shared" ref="AT19:AY19" si="45">AT11</f>
        <v>x2</v>
      </c>
      <c r="AU19" s="32" t="str">
        <f t="shared" si="45"/>
        <v>x3</v>
      </c>
      <c r="AV19" s="32" t="str">
        <f t="shared" si="45"/>
        <v>x4</v>
      </c>
      <c r="AW19" s="32" t="str">
        <f t="shared" si="45"/>
        <v>x5</v>
      </c>
      <c r="AX19" s="32" t="str">
        <f t="shared" si="45"/>
        <v>x6</v>
      </c>
      <c r="AY19" s="32" t="str">
        <f t="shared" si="45"/>
        <v>-z0</v>
      </c>
      <c r="BI19" s="34"/>
      <c r="BJ19" s="34"/>
      <c r="BK19" s="34"/>
      <c r="BL19" s="34"/>
      <c r="BM19" s="34"/>
      <c r="CE19" s="34" t="s">
        <v>37</v>
      </c>
      <c r="CF19" s="35" t="str">
        <f ca="1">OFFSET(BT15,MATCH(MIN(CF15:CF18),CF15:CF18,0)-1,0)</f>
        <v>x7</v>
      </c>
      <c r="CG19" s="34"/>
    </row>
    <row r="20" spans="2:85" x14ac:dyDescent="0.25">
      <c r="B20" s="45" t="s">
        <v>41</v>
      </c>
      <c r="C20" s="45"/>
      <c r="D20" s="45"/>
      <c r="E20" s="45"/>
      <c r="F20" s="45"/>
      <c r="G20" s="45"/>
      <c r="H20" s="45"/>
      <c r="AR20" s="32" t="str">
        <f>AR12</f>
        <v>-z</v>
      </c>
      <c r="AS20" s="38" t="e">
        <f ca="1">IF($AR20=$BC12,IF(AS$3=$BC12,AS12/AS12,AS12/$BB17),IF(AS$3=$BC12,0,AS12+(-1*INDEX($AS12:$AY12,0,MATCH($BC12,$AS$3:$AY$3,0)))*INDEX($AS13:$AY14,MATCH($BB16,$AR13:$AR14,0),MATCH(AS$3,$AS$3:$AY$3,0))/$BB17))</f>
        <v>#N/A</v>
      </c>
      <c r="AT20" s="38" t="e">
        <f t="shared" ref="AT20:AY20" ca="1" si="46">IF($AR20=$BC12,IF(AT$3=$BC12,AT12/AT12,AT12/$BB17),IF(AT$3=$BC12,0,AT12+(-1*INDEX($AS12:$AY12,0,MATCH($BC12,$AS$3:$AY$3,0)))*INDEX($AS13:$AY14,MATCH($BB16,$AR13:$AR14,0),MATCH(AT$3,$AS$3:$AY$3,0))/$BB17))</f>
        <v>#N/A</v>
      </c>
      <c r="AU20" s="38" t="e">
        <f t="shared" ca="1" si="46"/>
        <v>#N/A</v>
      </c>
      <c r="AV20" s="38" t="e">
        <f t="shared" ca="1" si="46"/>
        <v>#N/A</v>
      </c>
      <c r="AW20" s="38" t="e">
        <f t="shared" ca="1" si="46"/>
        <v>#N/A</v>
      </c>
      <c r="AX20" s="38" t="e">
        <f t="shared" ca="1" si="46"/>
        <v>#N/A</v>
      </c>
      <c r="AY20" s="38" t="e">
        <f t="shared" ca="1" si="46"/>
        <v>#N/A</v>
      </c>
      <c r="BA20" s="34" t="s">
        <v>36</v>
      </c>
      <c r="BB20" s="34" t="e">
        <f t="array" aca="1" ref="BB20" ca="1">IF(MIN(IF(AS20:AX20&gt;=0,1,-1))=1,"Não","Sim")</f>
        <v>#N/A</v>
      </c>
      <c r="BC20" s="34" t="e">
        <f ca="1">IF(BB20="Sim",INDEX(AS19:AX19,0,MATCH(MIN(AS20:AX20),AS20:AX20,0))," ")</f>
        <v>#N/A</v>
      </c>
      <c r="BI20" s="34"/>
      <c r="BJ20" s="34"/>
      <c r="BK20" s="34"/>
      <c r="BL20" s="34"/>
      <c r="BM20" s="34"/>
      <c r="BO20" s="34"/>
      <c r="BP20" s="34"/>
      <c r="BQ20" s="34"/>
      <c r="CE20" s="34" t="s">
        <v>38</v>
      </c>
      <c r="CF20" s="35">
        <f ca="1">INDEX(BU15:CB18,MATCH(CF19,BT15:BT18,0),MATCH(CG14,BU$3:CB$3,0))</f>
        <v>0.16666666666666669</v>
      </c>
      <c r="CG20" s="34"/>
    </row>
    <row r="21" spans="2:85" x14ac:dyDescent="0.25">
      <c r="B21" s="32"/>
      <c r="C21" s="32" t="str">
        <f>C12</f>
        <v>x1</v>
      </c>
      <c r="D21" s="32" t="str">
        <f t="shared" ref="D21:H21" si="47">D12</f>
        <v>x2</v>
      </c>
      <c r="E21" s="32" t="str">
        <f t="shared" si="47"/>
        <v>x3</v>
      </c>
      <c r="F21" s="32" t="str">
        <f t="shared" si="47"/>
        <v>x4</v>
      </c>
      <c r="G21" s="32" t="str">
        <f t="shared" si="47"/>
        <v>x5</v>
      </c>
      <c r="H21" s="32" t="str">
        <f t="shared" si="47"/>
        <v>-z0</v>
      </c>
      <c r="O21" s="32"/>
      <c r="P21" s="32" t="str">
        <f>P12</f>
        <v>x1</v>
      </c>
      <c r="Q21" s="32" t="str">
        <f t="shared" ref="Q21:V21" si="48">Q12</f>
        <v>x2</v>
      </c>
      <c r="R21" s="32" t="str">
        <f t="shared" si="48"/>
        <v>x3</v>
      </c>
      <c r="S21" s="32" t="str">
        <f t="shared" si="48"/>
        <v>x4</v>
      </c>
      <c r="T21" s="32" t="str">
        <f t="shared" si="48"/>
        <v>x5</v>
      </c>
      <c r="U21" s="32" t="str">
        <f t="shared" si="48"/>
        <v>x6</v>
      </c>
      <c r="V21" s="32" t="str">
        <f t="shared" si="48"/>
        <v>-z0</v>
      </c>
      <c r="AC21" s="32"/>
      <c r="AD21" s="32" t="str">
        <f t="shared" ref="AD21:AJ21" si="49">BU13</f>
        <v>x1</v>
      </c>
      <c r="AE21" s="32" t="str">
        <f t="shared" si="49"/>
        <v>x2</v>
      </c>
      <c r="AF21" s="32" t="str">
        <f t="shared" si="49"/>
        <v>x3</v>
      </c>
      <c r="AG21" s="32" t="str">
        <f t="shared" si="49"/>
        <v>x4</v>
      </c>
      <c r="AH21" s="32" t="str">
        <f t="shared" si="49"/>
        <v>x5</v>
      </c>
      <c r="AI21" s="32" t="str">
        <f t="shared" si="49"/>
        <v>x6</v>
      </c>
      <c r="AJ21" s="32" t="str">
        <f t="shared" si="49"/>
        <v>x7</v>
      </c>
      <c r="AK21" s="32" t="str">
        <f>CC13</f>
        <v>-z0</v>
      </c>
      <c r="AR21" s="32" t="e">
        <f ca="1">IF(AR13=BB16,BC12,AR13)</f>
        <v>#N/A</v>
      </c>
      <c r="AS21" s="38" t="e">
        <f ca="1">IF($AR21=$BC12,IF(AS$3=$BC12,AS13/AS13,AS13/$BB17),IF(AS$3=$BC12,0,AS13+(-1*INDEX($AS13:$AY13,0,MATCH($BC12,$AS$3:$AY$3,0)))*INDEX($AS13:$AY14,MATCH($BB16,$AR13:$AR14,0),MATCH(AS$3,$AS$3:$AY$3,0))/$BB17))</f>
        <v>#N/A</v>
      </c>
      <c r="AT21" s="38" t="e">
        <f t="shared" ref="AT21:AY21" ca="1" si="50">IF($AR21=$BC12,IF(AT$3=$BC12,AT13/AT13,AT13/$BB17),IF(AT$3=$BC12,0,AT13+(-1*INDEX($AS13:$AY13,0,MATCH($BC12,$AS$3:$AY$3,0)))*INDEX($AS13:$AY14,MATCH($BB16,$AR13:$AR14,0),MATCH(AT$3,$AS$3:$AY$3,0))/$BB17))</f>
        <v>#N/A</v>
      </c>
      <c r="AU21" s="38" t="e">
        <f t="shared" ca="1" si="50"/>
        <v>#N/A</v>
      </c>
      <c r="AV21" s="38" t="e">
        <f t="shared" ca="1" si="50"/>
        <v>#N/A</v>
      </c>
      <c r="AW21" s="38" t="e">
        <f t="shared" ca="1" si="50"/>
        <v>#N/A</v>
      </c>
      <c r="AX21" s="38" t="e">
        <f t="shared" ca="1" si="50"/>
        <v>#N/A</v>
      </c>
      <c r="AY21" s="38" t="e">
        <f t="shared" ca="1" si="50"/>
        <v>#N/A</v>
      </c>
      <c r="BA21" s="34" t="e">
        <f ca="1">_xlfn.CONCAT(BC21," = ",IF(INT(AY21)=AY21,AY21,TEXT(AY21,"??/??"))," ÷ ",IF(INT(INDEX(AS21:AX21,0,MATCH(BC21,AS$3:AX$3,0)))=INDEX(AS21:AX21,0,MATCH(BC21,AS$3:AX$3,0)),INDEX(AS21:AX21,0,MATCH(BC21,AS$3:AX$3,0)),TEXT(INDEX(AS21:AX21,0,MATCH(BC21,AS$3:AX$3,0)),"??/??"))," = ")</f>
        <v>#N/A</v>
      </c>
      <c r="BB21" s="35" t="e">
        <f ca="1">IF(AY21/INDEX(AS21:AX21,0,MATCH(BC21,AS$3:AX$3,0))&lt;0,"Nao zera",AY21/INDEX(AS21:AX21,0,MATCH(BC21,AS$3:AX$3,0)))</f>
        <v>#N/A</v>
      </c>
      <c r="BC21" s="25" t="e">
        <f ca="1">BC20</f>
        <v>#N/A</v>
      </c>
      <c r="BI21" s="34"/>
      <c r="BJ21" s="34"/>
      <c r="BK21" s="34"/>
      <c r="BL21" s="34"/>
      <c r="BM21" s="34"/>
      <c r="BO21" s="34"/>
      <c r="BP21" s="35"/>
      <c r="BQ21" s="25"/>
    </row>
    <row r="22" spans="2:85" x14ac:dyDescent="0.25">
      <c r="B22" s="32" t="str">
        <f>B13</f>
        <v>-z</v>
      </c>
      <c r="C22" s="33">
        <f ca="1">IF($B22=$L13,IF(C$3=$L13,C13/C13,C13/$K19),IF(C$3=$L13,0,C13+(-1*INDEX($C13:$H13,0,MATCH($L13,$C$3:$H$3,0)))*INDEX($C14:$H16,MATCH($K18,$B14:$B16,0),MATCH(C$3,$C$3:$H$3,0))/$K19))</f>
        <v>0</v>
      </c>
      <c r="D22" s="33">
        <f t="shared" ref="D22:H22" ca="1" si="51">IF($B22=$L13,IF(D$3=$L13,D13/D13,D13/$K19),IF(D$3=$L13,0,D13+(-1*INDEX($C13:$H13,0,MATCH($L13,$C$3:$H$3,0)))*INDEX($C14:$H16,MATCH($K18,$B14:$B16,0),MATCH(D$3,$C$3:$H$3,0))/$K19))</f>
        <v>0</v>
      </c>
      <c r="E22" s="33">
        <f t="shared" ca="1" si="51"/>
        <v>1.40625</v>
      </c>
      <c r="F22" s="33">
        <f t="shared" ca="1" si="51"/>
        <v>-4.166666666666663E-2</v>
      </c>
      <c r="G22" s="33">
        <f t="shared" ca="1" si="51"/>
        <v>0</v>
      </c>
      <c r="H22" s="33">
        <f t="shared" ca="1" si="51"/>
        <v>-9.5625</v>
      </c>
      <c r="J22" t="s">
        <v>36</v>
      </c>
      <c r="K22" t="str">
        <f t="array" aca="1" ref="K22" ca="1">IF(MIN(IF(C22:G22&gt;=0,1,-1))=1,"Não","Sim")</f>
        <v>Sim</v>
      </c>
      <c r="L22" t="str">
        <f ca="1">IF(K22="Sim",INDEX(C21:G21,0,MATCH(MIN(C22:G22),C22:G22,0))," ")</f>
        <v>x4</v>
      </c>
      <c r="O22" s="32" t="str">
        <f>O13</f>
        <v>-z</v>
      </c>
      <c r="P22" s="33">
        <f ca="1">IF($O22=$Z13,IF(P$3=$Z13,P13/P13,P13/$Y19),IF(P$3=$Z13,0,P13+(-1*INDEX($P13:$V13,0,MATCH($Z13,$P$3:$V$3,0)))*INDEX($P14:$V16,MATCH($Y18,$O14:$O16,0),MATCH(P$3,$P$3:$V$3,0))/$Y19))</f>
        <v>5.2916666666666679</v>
      </c>
      <c r="Q22" s="33">
        <f t="shared" ref="Q22:V22" ca="1" si="52">IF($O22=$Z13,IF(Q$3=$Z13,Q13/Q13,Q13/$Y19),IF(Q$3=$Z13,0,Q13+(-1*INDEX($P13:$V13,0,MATCH($Z13,$P$3:$V$3,0)))*INDEX($P14:$V16,MATCH($Y18,$O14:$O16,0),MATCH(Q$3,$P$3:$V$3,0))/$Y19))</f>
        <v>0</v>
      </c>
      <c r="R22" s="33">
        <f t="shared" ca="1" si="52"/>
        <v>0</v>
      </c>
      <c r="S22" s="33">
        <f t="shared" ca="1" si="52"/>
        <v>1.40625</v>
      </c>
      <c r="T22" s="33">
        <f t="shared" ca="1" si="52"/>
        <v>-4.166666666666663E-2</v>
      </c>
      <c r="U22" s="33">
        <f t="shared" ca="1" si="52"/>
        <v>0</v>
      </c>
      <c r="V22" s="33">
        <f t="shared" ca="1" si="52"/>
        <v>-9.5625</v>
      </c>
      <c r="X22" s="34" t="s">
        <v>36</v>
      </c>
      <c r="Y22" s="34" t="str">
        <f t="array" aca="1" ref="Y22" ca="1">IF(MIN(IF(P22:U22&gt;=0,1,-1))=1,"Não","Sim")</f>
        <v>Sim</v>
      </c>
      <c r="Z22" s="34" t="str">
        <f ca="1">IF(Y22="Sim",INDEX(P21:U21,0,MATCH(MIN(P22:U22),P22:U22,0))," ")</f>
        <v>x5</v>
      </c>
      <c r="AC22" s="32" t="str">
        <f>BT14</f>
        <v>-z</v>
      </c>
      <c r="AD22" s="33">
        <f t="shared" ref="AD22:AJ22" ca="1" si="53">IF($AC22=$CG14,IF(BU$3=$CG14,BU14/BU14,BU14/$CF20),IF(BU$3=$CG14,0,BU14+(-1*INDEX($BU14:$CC14,0,MATCH($CG14,$BU$3:$CC$3,0)))*INDEX($BU15:$CC17,MATCH($CF19,$BT15:$BT17,0),MATCH(BU$3,$BU$3:$CC$3,0))/$CF20))</f>
        <v>0</v>
      </c>
      <c r="AE22" s="33">
        <f t="shared" ca="1" si="53"/>
        <v>0</v>
      </c>
      <c r="AF22" s="33">
        <f t="shared" ca="1" si="53"/>
        <v>4.4408920985006262E-16</v>
      </c>
      <c r="AG22" s="33">
        <f t="shared" ca="1" si="53"/>
        <v>2</v>
      </c>
      <c r="AH22" s="33">
        <f t="shared" ca="1" si="53"/>
        <v>0</v>
      </c>
      <c r="AI22" s="33">
        <f t="shared" ca="1" si="53"/>
        <v>0</v>
      </c>
      <c r="AJ22" s="33">
        <f t="shared" ca="1" si="53"/>
        <v>0.99999999999999967</v>
      </c>
      <c r="AK22" s="33">
        <f ca="1">IF($AC22=$CG14,IF(CC$3=$CG14,CC14/CC14,CC14/$CF20),IF(CC$3=$CG14,0,CC14+(-1*INDEX($BU14:$CC14,0,MATCH($CG14,$BU$3:$CC$3,0)))*INDEX($BU15:$CC17,MATCH($CF19,$BT15:$BT17,0),MATCH(CC$3,$BU$3:$CC$3,0))/$CF20))</f>
        <v>55.5</v>
      </c>
      <c r="AM22" s="34" t="s">
        <v>36</v>
      </c>
      <c r="AN22" s="34" t="str">
        <f t="array" aca="1" ref="AN22" ca="1">IF(MIN(IF(AD22:AJ22&gt;=0,1,-1))=1,"Não","Sim")</f>
        <v>Não</v>
      </c>
      <c r="AO22" s="34" t="str">
        <f ca="1">IF(AN22="Sim",INDEX(AD21:AJ21,0,MATCH(MIN(AD22:AJ22),AD22:AJ22,0))," ")</f>
        <v xml:space="preserve"> </v>
      </c>
      <c r="AR22" s="32" t="e">
        <f ca="1">IF(AR14=BB16,BC12,AR14)</f>
        <v>#N/A</v>
      </c>
      <c r="AS22" s="38" t="e">
        <f ca="1">IF($AR22=$BC12,IF(AS$3=$BC12,AS14/AS14,AS14/$BB17),IF(AS$3=$BC12,0,AS14+(-1*INDEX($AS14:$AY14,0,MATCH($BC12,$AS$3:$AY$3,0)))*INDEX($AS13:$AY14,MATCH($BB16,$AR13:$AR14,0),MATCH(AS$3,$AS$3:$AY$3,0))/$BB17))</f>
        <v>#N/A</v>
      </c>
      <c r="AT22" s="38" t="e">
        <f t="shared" ref="AT22:AY22" ca="1" si="54">IF($AR22=$BC12,IF(AT$3=$BC12,AT14/AT14,AT14/$BB17),IF(AT$3=$BC12,0,AT14+(-1*INDEX($AS14:$AY14,0,MATCH($BC12,$AS$3:$AY$3,0)))*INDEX($AS13:$AY14,MATCH($BB16,$AR13:$AR14,0),MATCH(AT$3,$AS$3:$AY$3,0))/$BB17))</f>
        <v>#N/A</v>
      </c>
      <c r="AU22" s="38" t="e">
        <f t="shared" ca="1" si="54"/>
        <v>#N/A</v>
      </c>
      <c r="AV22" s="38" t="e">
        <f t="shared" ca="1" si="54"/>
        <v>#N/A</v>
      </c>
      <c r="AW22" s="38" t="e">
        <f t="shared" ca="1" si="54"/>
        <v>#N/A</v>
      </c>
      <c r="AX22" s="38" t="e">
        <f t="shared" ca="1" si="54"/>
        <v>#N/A</v>
      </c>
      <c r="AY22" s="38" t="e">
        <f t="shared" ca="1" si="54"/>
        <v>#N/A</v>
      </c>
      <c r="BA22" s="34" t="e">
        <f t="shared" ref="BA22" ca="1" si="55">_xlfn.CONCAT(BC22," = ",IF(INT(AY22)=AY22,AY22,TEXT(AY22,"??/??"))," ÷ ",IF(INT(INDEX(AS22:AX22,0,MATCH(BC22,AS$3:AX$3,0)))=INDEX(AS22:AX22,0,MATCH(BC22,AS$3:AX$3,0)),INDEX(AS22:AX22,0,MATCH(BC22,AS$3:AX$3,0)),TEXT(INDEX(AS22:AX22,0,MATCH(BC22,AS$3:AX$3,0)),"??/??"))," = ")</f>
        <v>#N/A</v>
      </c>
      <c r="BB22" s="35" t="e">
        <f t="shared" ref="BB22" ca="1" si="56">IF(AY22/INDEX(AS22:AX22,0,MATCH(BC22,AS$3:AX$3,0))&lt;0,"Nao zera",AY22/INDEX(AS22:AX22,0,MATCH(BC22,AS$3:AX$3,0)))</f>
        <v>#N/A</v>
      </c>
      <c r="BC22" s="25" t="e">
        <f ca="1">BC20</f>
        <v>#N/A</v>
      </c>
      <c r="BI22" s="34"/>
      <c r="BJ22" s="34"/>
      <c r="BK22" s="34"/>
      <c r="BL22" s="34"/>
      <c r="BM22" s="34"/>
      <c r="BO22" s="34"/>
      <c r="BP22" s="35"/>
      <c r="BQ22" s="25"/>
      <c r="BV22" s="34"/>
      <c r="BW22" s="34"/>
      <c r="BX22" s="34"/>
      <c r="BY22" s="34"/>
      <c r="BZ22" s="34"/>
      <c r="CA22" s="34"/>
      <c r="CB22" s="34"/>
      <c r="CC22" s="34"/>
    </row>
    <row r="23" spans="2:85" x14ac:dyDescent="0.25">
      <c r="B23" s="32" t="str">
        <f ca="1">IF(B14=K18,L13,B14)</f>
        <v>x2</v>
      </c>
      <c r="C23" s="33">
        <f ca="1">IF($B23=$L14,IF(C$3=$L14,C14/C14,C14/$K19),IF(C$3=$L14,0,C14+(-1*INDEX($C14:$H14,0,MATCH($L14,$C$3:$H$3,0)))*INDEX($C14:$H16,MATCH($K18,$B14:$B16,0),MATCH(C$3,$C$3:$H$3,0))/$K19))</f>
        <v>0</v>
      </c>
      <c r="D23" s="33">
        <f t="shared" ref="D23:H23" ca="1" si="57">IF($B23=$L14,IF(D$3=$L14,D14/D14,D14/$K19),IF(D$3=$L14,0,D14+(-1*INDEX($C14:$H14,0,MATCH($L14,$C$3:$H$3,0)))*INDEX($C14:$H16,MATCH($K18,$B14:$B16,0),MATCH(D$3,$C$3:$H$3,0))/$K19))</f>
        <v>1</v>
      </c>
      <c r="E23" s="33">
        <f t="shared" ca="1" si="57"/>
        <v>1.5</v>
      </c>
      <c r="F23" s="33">
        <f t="shared" ca="1" si="57"/>
        <v>-0.66666666666666663</v>
      </c>
      <c r="G23" s="33">
        <f t="shared" ca="1" si="57"/>
        <v>0</v>
      </c>
      <c r="H23" s="33">
        <f t="shared" ca="1" si="57"/>
        <v>3</v>
      </c>
      <c r="J23" t="str">
        <f ca="1">_xlfn.CONCAT(L23," = ",IF(INT(H23)=H23,H23,TEXT(H23,"??/??"))," ÷ ",IF(INT(INDEX(C23:G23,0,MATCH(L23,C$3:G$3,0)))=INDEX(C23:G23,0,MATCH(L23,C$3:G$3,0)),INDEX(C23:G23,0,MATCH(L23,C$3:G$3,0)),TEXT(INDEX(C23:G23,0,MATCH(L23,C$3:G$3,0)),"??/??"))," = ")</f>
        <v xml:space="preserve">x4 = 3 ÷ - 2/3  = </v>
      </c>
      <c r="K23" s="24" t="str">
        <f ca="1">IF(H23/INDEX(C23:G23,0,MATCH(L23,C$3:G$3,0))&lt;0,"Nao zera",H23/INDEX(C23:G23,0,MATCH(L23,C$3:G$3,0)))</f>
        <v>Nao zera</v>
      </c>
      <c r="L23" s="25" t="str">
        <f ca="1">L22</f>
        <v>x4</v>
      </c>
      <c r="O23" s="32" t="str">
        <f ca="1">IF(O14=Y18,Z13,O14)</f>
        <v>x3</v>
      </c>
      <c r="P23" s="33">
        <f ca="1">IF($O23=$Z13,IF(P$3=$Z13,P14/P14,P14/$Y19),IF(P$3=$Z13,0,P14+(-1*INDEX($P14:$V14,0,MATCH($Z13,$P$3:$V$3,0)))*INDEX($P14:$V16,MATCH($Y18,$O14:$O16,0),MATCH(P$3,$P$3:$V$3,0))/$Y19))</f>
        <v>1.3333333333333339</v>
      </c>
      <c r="Q23" s="33">
        <f t="shared" ref="Q23:V23" ca="1" si="58">IF($O23=$Z13,IF(Q$3=$Z13,Q14/Q14,Q14/$Y19),IF(Q$3=$Z13,0,Q14+(-1*INDEX($P14:$V14,0,MATCH($Z13,$P$3:$V$3,0)))*INDEX($P14:$V16,MATCH($Y18,$O14:$O16,0),MATCH(Q$3,$P$3:$V$3,0))/$Y19))</f>
        <v>0</v>
      </c>
      <c r="R23" s="33">
        <f t="shared" ca="1" si="58"/>
        <v>1</v>
      </c>
      <c r="S23" s="33">
        <f t="shared" ca="1" si="58"/>
        <v>1.5</v>
      </c>
      <c r="T23" s="33">
        <f t="shared" ca="1" si="58"/>
        <v>-0.66666666666666663</v>
      </c>
      <c r="U23" s="33">
        <f t="shared" ca="1" si="58"/>
        <v>0</v>
      </c>
      <c r="V23" s="33">
        <f t="shared" ca="1" si="58"/>
        <v>3</v>
      </c>
      <c r="X23" s="34" t="str">
        <f ca="1">_xlfn.CONCAT(Z23," = ",IF(INT(V23)=V23,V23,TEXT(V23,"??/??"))," ÷ ",IF(INT(INDEX(P23:U23,0,MATCH(Z23,P$3:U$3,0)))=INDEX(P23:U23,0,MATCH(Z23,P$3:U$3,0)),INDEX(P23:U23,0,MATCH(Z23,P$3:U$3,0)),TEXT(INDEX(P23:U23,0,MATCH(Z23,P$3:U$3,0)),"??/??"))," = ")</f>
        <v xml:space="preserve">x5 = 3 ÷ - 2/3  = </v>
      </c>
      <c r="Y23" s="35" t="str">
        <f ca="1">IF(V23/INDEX(P23:U23,0,MATCH(Z23,P$3:U$3,0))&lt;0,"Nao zera",V23/INDEX(P23:U23,0,MATCH(Z23,P$3:U$3,0)))</f>
        <v>Nao zera</v>
      </c>
      <c r="Z23" s="25" t="str">
        <f ca="1">Z22</f>
        <v>x5</v>
      </c>
      <c r="AC23" s="32" t="str">
        <f ca="1">IF(BT15=CF19,CG14,BT15)</f>
        <v>x5</v>
      </c>
      <c r="AD23" s="33">
        <f t="shared" ref="AD23:AJ23" ca="1" si="59">IF($AC23=$CG14,IF(BU$3=$CG14,BU15/BU15,BU15/$CF20),IF(BU$3=$CG14,0,BU15+(-1*INDEX($BU15:$CC15,0,MATCH($CG14,$BU$3:$CC$3,0)))*INDEX($BU15:$CC17,MATCH($CF19,$BT15:$BT17,0),MATCH(BU$3,$BU$3:$CC$3,0))/$CF20))</f>
        <v>0</v>
      </c>
      <c r="AE23" s="33">
        <f t="shared" ca="1" si="59"/>
        <v>0</v>
      </c>
      <c r="AF23" s="33">
        <f t="shared" ca="1" si="59"/>
        <v>-1.0000000000000004</v>
      </c>
      <c r="AG23" s="33">
        <f t="shared" ca="1" si="59"/>
        <v>-1.6653345369377348E-16</v>
      </c>
      <c r="AH23" s="33">
        <f t="shared" ca="1" si="59"/>
        <v>1</v>
      </c>
      <c r="AI23" s="33">
        <f t="shared" ca="1" si="59"/>
        <v>0</v>
      </c>
      <c r="AJ23" s="33">
        <f t="shared" ca="1" si="59"/>
        <v>-0.99999999999999967</v>
      </c>
      <c r="AK23" s="33">
        <f ca="1">IF($AC23=$CG14,IF(CC$3=$CG14,CC15/CC15,CC15/$CF20),IF(CC$3=$CG14,0,CC15+(-1*INDEX($BU15:$CC15,0,MATCH($CG14,$BU$3:$CC$3,0)))*INDEX($BU15:$CC17,MATCH($CF19,$BT15:$BT17,0),MATCH(CC$3,$BU$3:$CC$3,0))/$CF20))</f>
        <v>6.5</v>
      </c>
      <c r="AM23" s="34" t="e">
        <f ca="1">_xlfn.CONCAT(AO23," = ",IF(INT(AK23)=AK23,AK23,TEXT(AK23,"??/??"))," ÷ ",IF(INT(INDEX(AD23:AJ23,0,MATCH(AO23,BU$3:CA$3,0)))=INDEX(AD23:AJ23,0,MATCH(AO23,BU$3:CA$3,0)),INDEX(AD23:AJ23,0,MATCH(AO23,BU$3:CA$3,0)),TEXT(INDEX(AD23:AJ23,0,MATCH(AO23,BU$3:CA$3,0)),"??/??"))," = ")</f>
        <v>#N/A</v>
      </c>
      <c r="AN23" s="35" t="e">
        <f ca="1">IF(AK23/INDEX(AD23:AJ23,0,MATCH(AO23,BU$3:CA$3,0))&lt;0,"Nao zera",AK23/INDEX(AD23:AJ23,0,MATCH(AO23,BU$3:CA$3,0)))</f>
        <v>#N/A</v>
      </c>
      <c r="AO23" s="25" t="str">
        <f ca="1">AO22</f>
        <v xml:space="preserve"> </v>
      </c>
      <c r="BA23" s="34"/>
      <c r="BB23" s="35"/>
      <c r="BC23" s="25"/>
      <c r="BO23" s="34"/>
      <c r="BP23" s="35"/>
      <c r="BQ23" s="25"/>
      <c r="BT23" s="32"/>
      <c r="BU23" s="32" t="str">
        <f>BU13</f>
        <v>x1</v>
      </c>
      <c r="BV23" s="32" t="str">
        <f t="shared" ref="BV23:CC23" si="60">BV13</f>
        <v>x2</v>
      </c>
      <c r="BW23" s="32" t="str">
        <f t="shared" si="60"/>
        <v>x3</v>
      </c>
      <c r="BX23" s="32" t="str">
        <f t="shared" si="60"/>
        <v>x4</v>
      </c>
      <c r="BY23" s="32" t="str">
        <f t="shared" si="60"/>
        <v>x5</v>
      </c>
      <c r="BZ23" s="32" t="str">
        <f t="shared" si="60"/>
        <v>x6</v>
      </c>
      <c r="CA23" s="32" t="str">
        <f t="shared" si="60"/>
        <v>x7</v>
      </c>
      <c r="CB23" s="32" t="str">
        <f t="shared" si="60"/>
        <v>x8</v>
      </c>
      <c r="CC23" s="32" t="str">
        <f t="shared" si="60"/>
        <v>-z0</v>
      </c>
      <c r="CE23" s="34"/>
      <c r="CF23" s="34"/>
      <c r="CG23" s="34"/>
    </row>
    <row r="24" spans="2:85" x14ac:dyDescent="0.25">
      <c r="B24" s="32" t="str">
        <f ca="1">IF(B15=K18,L13,B15)</f>
        <v>x1</v>
      </c>
      <c r="C24" s="33">
        <f ca="1">IF($B24=$L15,IF(C$3=$L15,C15/C15,C15/$K19),IF(C$3=$L15,0,C15+(-1*INDEX($C15:$H15,0,MATCH($L15,$C$3:$H$3,0)))*INDEX($C14:$H16,MATCH($K18,$B14:$B16,0),MATCH(C$3,$C$3:$H$3,0))/$K19))</f>
        <v>1</v>
      </c>
      <c r="D24" s="33">
        <f t="shared" ref="D24:H24" ca="1" si="61">IF($B24=$L15,IF(D$3=$L15,D15/D15,D15/$K19),IF(D$3=$L15,0,D15+(-1*INDEX($C15:$H15,0,MATCH($L15,$C$3:$H$3,0)))*INDEX($C14:$H16,MATCH($K18,$B14:$B16,0),MATCH(D$3,$C$3:$H$3,0))/$K19))</f>
        <v>0</v>
      </c>
      <c r="E24" s="33">
        <f t="shared" ca="1" si="61"/>
        <v>0.75</v>
      </c>
      <c r="F24" s="33">
        <f t="shared" ca="1" si="61"/>
        <v>0.33333333333333331</v>
      </c>
      <c r="G24" s="33">
        <f t="shared" ca="1" si="61"/>
        <v>0</v>
      </c>
      <c r="H24" s="33">
        <f t="shared" ca="1" si="61"/>
        <v>4.5</v>
      </c>
      <c r="J24" t="str">
        <f ca="1">_xlfn.CONCAT(L24," = ",IF(INT(H24)=H24,H24,TEXT(H24,"??/??"))," ÷ ",IF(INT(INDEX(C24:G24,0,MATCH(L24,C$3:G$3,0)))=INDEX(C24:G24,0,MATCH(L24,C$3:G$3,0)),INDEX(C24:G24,0,MATCH(L24,C$3:G$3,0)),TEXT(INDEX(C24:G24,0,MATCH(L24,C$3:G$3,0)),"??/??"))," = ")</f>
        <v xml:space="preserve">x4 =  9/2  ÷  1/3  = </v>
      </c>
      <c r="K24" s="24">
        <f ca="1">IF(H24/INDEX(C24:G24,0,MATCH(L24,C$3:G$3,0))&lt;0,"Nao zera",H24/INDEX(C24:G24,0,MATCH(L24,C$3:G$3,0)))</f>
        <v>13.5</v>
      </c>
      <c r="L24" s="25" t="str">
        <f ca="1">L22</f>
        <v>x4</v>
      </c>
      <c r="O24" s="32" t="str">
        <f ca="1">IF(O15=Y18,Z13,O15)</f>
        <v>x2</v>
      </c>
      <c r="P24" s="33">
        <f ca="1">IF($O24=$Z13,IF(P$3=$Z13,P15/P15,P15/$Y19),IF(P$3=$Z13,0,P15+(-1*INDEX($P15:$V15,0,MATCH($Z13,$P$3:$V$3,0)))*INDEX($P14:$V16,MATCH($Y18,$O14:$O16,0),MATCH(P$3,$P$3:$V$3,0))/$Y19))</f>
        <v>4.3333333333333339</v>
      </c>
      <c r="Q24" s="33">
        <f t="shared" ref="Q24:V24" ca="1" si="62">IF($O24=$Z13,IF(Q$3=$Z13,Q15/Q15,Q15/$Y19),IF(Q$3=$Z13,0,Q15+(-1*INDEX($P15:$V15,0,MATCH($Z13,$P$3:$V$3,0)))*INDEX($P14:$V16,MATCH($Y18,$O14:$O16,0),MATCH(Q$3,$P$3:$V$3,0))/$Y19))</f>
        <v>1</v>
      </c>
      <c r="R24" s="33">
        <f t="shared" ca="1" si="62"/>
        <v>0</v>
      </c>
      <c r="S24" s="33">
        <f t="shared" ca="1" si="62"/>
        <v>0.75</v>
      </c>
      <c r="T24" s="33">
        <f t="shared" ca="1" si="62"/>
        <v>0.33333333333333331</v>
      </c>
      <c r="U24" s="33">
        <f t="shared" ca="1" si="62"/>
        <v>0</v>
      </c>
      <c r="V24" s="33">
        <f t="shared" ca="1" si="62"/>
        <v>4.5</v>
      </c>
      <c r="X24" s="34" t="str">
        <f t="shared" ref="X24:X25" ca="1" si="63">_xlfn.CONCAT(Z24," = ",IF(INT(V24)=V24,V24,TEXT(V24,"??/??"))," ÷ ",IF(INT(INDEX(P24:U24,0,MATCH(Z24,P$3:U$3,0)))=INDEX(P24:U24,0,MATCH(Z24,P$3:U$3,0)),INDEX(P24:U24,0,MATCH(Z24,P$3:U$3,0)),TEXT(INDEX(P24:U24,0,MATCH(Z24,P$3:U$3,0)),"??/??"))," = ")</f>
        <v xml:space="preserve">x5 =  9/2  ÷  1/3  = </v>
      </c>
      <c r="Y24" s="35">
        <f t="shared" ref="Y24:Y25" ca="1" si="64">IF(V24/INDEX(P24:U24,0,MATCH(Z24,P$3:U$3,0))&lt;0,"Nao zera",V24/INDEX(P24:U24,0,MATCH(Z24,P$3:U$3,0)))</f>
        <v>13.5</v>
      </c>
      <c r="Z24" s="25" t="str">
        <f ca="1">Z22</f>
        <v>x5</v>
      </c>
      <c r="AC24" s="32" t="str">
        <f ca="1">IF(BT16=CF19,CG14,BT16)</f>
        <v>x6</v>
      </c>
      <c r="AD24" s="33">
        <f t="shared" ref="AD24:AJ24" ca="1" si="65">IF($AC24=$CG14,IF(BU$3=$CG14,BU16/BU16,BU16/$CF20),IF(BU$3=$CG14,0,BU16+(-1*INDEX($BU16:$CC16,0,MATCH($CG14,$BU$3:$CC$3,0)))*INDEX($BU15:$CC17,MATCH($CF19,$BT15:$BT17,0),MATCH(BU$3,$BU$3:$CC$3,0))/$CF20))</f>
        <v>0</v>
      </c>
      <c r="AE24" s="33">
        <f t="shared" ca="1" si="65"/>
        <v>0</v>
      </c>
      <c r="AF24" s="33">
        <f t="shared" ca="1" si="65"/>
        <v>2.0000000000000022</v>
      </c>
      <c r="AG24" s="33">
        <f t="shared" ca="1" si="65"/>
        <v>6.6613381477509392E-16</v>
      </c>
      <c r="AH24" s="33">
        <f t="shared" ca="1" si="65"/>
        <v>0</v>
      </c>
      <c r="AI24" s="33">
        <f t="shared" ca="1" si="65"/>
        <v>1</v>
      </c>
      <c r="AJ24" s="33">
        <f t="shared" ca="1" si="65"/>
        <v>3.9999999999999987</v>
      </c>
      <c r="AK24" s="33">
        <f ca="1">IF($AC24=$CG14,IF(CC$3=$CG14,CC16/CC16,CC16/$CF20),IF(CC$3=$CG14,0,CC16+(-1*INDEX($BU16:$CC16,0,MATCH($CG14,$BU$3:$CC$3,0)))*INDEX($BU15:$CC17,MATCH($CF19,$BT15:$BT17,0),MATCH(CC$3,$BU$3:$CC$3,0))/$CF20))</f>
        <v>18</v>
      </c>
      <c r="AM24" s="34" t="e">
        <f ca="1">_xlfn.CONCAT(AO24," = ",IF(INT(AK24)=AK24,AK24,TEXT(AK24,"??/??"))," ÷ ",IF(INT(INDEX(AD24:AJ24,0,MATCH(AO24,BU$3:CA$3,0)))=INDEX(AD24:AJ24,0,MATCH(AO24,BU$3:CA$3,0)),INDEX(AD24:AJ24,0,MATCH(AO24,BU$3:CA$3,0)),TEXT(INDEX(AD24:AJ24,0,MATCH(AO24,BU$3:CA$3,0)),"??/??"))," = ")</f>
        <v>#N/A</v>
      </c>
      <c r="AN24" s="35" t="e">
        <f ca="1">IF(AK24/INDEX(AD24:AJ24,0,MATCH(AO24,BU$3:CA$3,0))&lt;0,"Nao zera",AK24/INDEX(AD24:AJ24,0,MATCH(AO24,BU$3:CA$3,0)))</f>
        <v>#N/A</v>
      </c>
      <c r="AO24" s="25" t="str">
        <f ca="1">AO22</f>
        <v xml:space="preserve"> </v>
      </c>
      <c r="BA24" s="34" t="s">
        <v>37</v>
      </c>
      <c r="BB24" s="35" t="e">
        <f ca="1">OFFSET(AR21,MATCH(MIN(BB21:BB22),BB21:BB22,0)-1,0)</f>
        <v>#N/A</v>
      </c>
      <c r="BC24" s="25"/>
      <c r="BO24" s="34"/>
      <c r="BP24" s="35"/>
      <c r="BQ24" s="25"/>
      <c r="BT24" s="32" t="str">
        <f>BT14</f>
        <v>-z</v>
      </c>
      <c r="BU24" s="38">
        <f ca="1">IF($BT24=$CG14,IF(BU$3=$CG14,BU14/BU14,BU14/$CF20),IF(BU$3=$CG14,0,BU14+(-1*INDEX($BU14:$CC14,0,MATCH($CG14,$BU$3:$CC$3,0)))*INDEX($BU15:$CC18,MATCH($CF19,$BT15:$BT18,0),MATCH(BU$3,$BU$3:$CC$3,0))/$CF20))</f>
        <v>0</v>
      </c>
      <c r="BV24" s="38">
        <f t="shared" ref="BV24:CC24" ca="1" si="66">IF($BT24=$CG14,IF(BV$3=$CG14,BV14/BV14,BV14/$CF20),IF(BV$3=$CG14,0,BV14+(-1*INDEX($BU14:$CC14,0,MATCH($CG14,$BU$3:$CC$3,0)))*INDEX($BU15:$CC18,MATCH($CF19,$BT15:$BT18,0),MATCH(BV$3,$BU$3:$CC$3,0))/$CF20))</f>
        <v>0</v>
      </c>
      <c r="BW24" s="38">
        <f t="shared" ca="1" si="66"/>
        <v>4.4408920985006262E-16</v>
      </c>
      <c r="BX24" s="38">
        <f t="shared" ca="1" si="66"/>
        <v>2</v>
      </c>
      <c r="BY24" s="38">
        <f t="shared" ca="1" si="66"/>
        <v>0</v>
      </c>
      <c r="BZ24" s="38">
        <f t="shared" ca="1" si="66"/>
        <v>0</v>
      </c>
      <c r="CA24" s="38">
        <f t="shared" ca="1" si="66"/>
        <v>0.99999999999999967</v>
      </c>
      <c r="CB24" s="38">
        <f t="shared" ca="1" si="66"/>
        <v>1.0000000000000004</v>
      </c>
      <c r="CC24" s="38">
        <f t="shared" ca="1" si="66"/>
        <v>55.5</v>
      </c>
      <c r="CE24" s="34" t="s">
        <v>36</v>
      </c>
      <c r="CF24" s="34" t="str">
        <f t="array" aca="1" ref="CF24" ca="1">IF(MIN(IF(BU24:CB24&gt;=0,1,-1))=1,"Não","Sim")</f>
        <v>Não</v>
      </c>
      <c r="CG24" s="34" t="str">
        <f ca="1">IF(CF24="Sim",INDEX(BU23:CB23,0,MATCH(MIN(BU24:CB24),BU24:CB24,0))," ")</f>
        <v xml:space="preserve"> </v>
      </c>
    </row>
    <row r="25" spans="2:85" x14ac:dyDescent="0.25">
      <c r="B25" s="32" t="str">
        <f ca="1">IF(B16=K18,L13,B16)</f>
        <v>x5</v>
      </c>
      <c r="C25" s="33">
        <f ca="1">IF($B25=$L16,IF(C$3=$L16,C16/C16,C16/$K19),IF(C$3=$L16,0,C16+(-1*INDEX($C16:$H16,0,MATCH($L16,$C$3:$H$3,0)))*INDEX($C14:$H16,MATCH($K18,$B14:$B16,0),MATCH(C$3,$C$3:$H$3,0))/$K19))</f>
        <v>0</v>
      </c>
      <c r="D25" s="33">
        <f t="shared" ref="D25:H25" ca="1" si="67">IF($B25=$L16,IF(D$3=$L16,D16/D16,D16/$K19),IF(D$3=$L16,0,D16+(-1*INDEX($C16:$H16,0,MATCH($L16,$C$3:$H$3,0)))*INDEX($C14:$H16,MATCH($K18,$B14:$B16,0),MATCH(D$3,$C$3:$H$3,0))/$K19))</f>
        <v>0</v>
      </c>
      <c r="E25" s="33">
        <f t="shared" ca="1" si="67"/>
        <v>-0.3125</v>
      </c>
      <c r="F25" s="33">
        <f t="shared" ca="1" si="67"/>
        <v>0.30555555555555552</v>
      </c>
      <c r="G25" s="33">
        <f t="shared" ca="1" si="67"/>
        <v>1</v>
      </c>
      <c r="H25" s="33">
        <f t="shared" ca="1" si="67"/>
        <v>2.125</v>
      </c>
      <c r="J25" t="str">
        <f ca="1">_xlfn.CONCAT(L25," = ",IF(INT(H25)=H25,H25,TEXT(H25,"??/??"))," ÷ ",IF(INT(INDEX(C25:G25,0,MATCH(L25,C$3:G$3,0)))=INDEX(C25:G25,0,MATCH(L25,C$3:G$3,0)),INDEX(C25:G25,0,MATCH(L25,C$3:G$3,0)),TEXT(INDEX(C25:G25,0,MATCH(L25,C$3:G$3,0)),"??/??"))," = ")</f>
        <v xml:space="preserve">x4 = 17/8  ÷ 11/36 = </v>
      </c>
      <c r="K25" s="24">
        <f ca="1">IF(H25/INDEX(C25:G25,0,MATCH(L25,C$3:G$3,0))&lt;0,"Nao zera",H25/INDEX(C25:G25,0,MATCH(L25,C$3:G$3,0)))</f>
        <v>6.954545454545455</v>
      </c>
      <c r="L25" s="25" t="str">
        <f ca="1">L22</f>
        <v>x4</v>
      </c>
      <c r="O25" s="32" t="str">
        <f ca="1">IF(O16=Y18,Z13,O16)</f>
        <v>x6</v>
      </c>
      <c r="P25" s="33">
        <f ca="1">IF($O25=$Z13,IF(P$3=$Z13,P16/P16,P16/$Y19),IF(P$3=$Z13,0,P16+(-1*INDEX($P16:$V16,0,MATCH($Z13,$P$3:$V$3,0)))*INDEX($P14:$V16,MATCH($Y18,$O14:$O16,0),MATCH(P$3,$P$3:$V$3,0))/$Y19))</f>
        <v>1.0674603174603172</v>
      </c>
      <c r="Q25" s="33">
        <f t="shared" ref="Q25:V25" ca="1" si="68">IF($O25=$Z13,IF(Q$3=$Z13,Q16/Q16,Q16/$Y19),IF(Q$3=$Z13,0,Q16+(-1*INDEX($P16:$V16,0,MATCH($Z13,$P$3:$V$3,0)))*INDEX($P14:$V16,MATCH($Y18,$O14:$O16,0),MATCH(Q$3,$P$3:$V$3,0))/$Y19))</f>
        <v>0</v>
      </c>
      <c r="R25" s="33">
        <f t="shared" ca="1" si="68"/>
        <v>0</v>
      </c>
      <c r="S25" s="33">
        <f t="shared" ca="1" si="68"/>
        <v>-0.3125</v>
      </c>
      <c r="T25" s="33">
        <f t="shared" ca="1" si="68"/>
        <v>0.30555555555555552</v>
      </c>
      <c r="U25" s="33">
        <f t="shared" ca="1" si="68"/>
        <v>1</v>
      </c>
      <c r="V25" s="33">
        <f t="shared" ca="1" si="68"/>
        <v>2.125</v>
      </c>
      <c r="X25" s="34" t="str">
        <f t="shared" ca="1" si="63"/>
        <v xml:space="preserve">x5 = 17/8  ÷ 11/36 = </v>
      </c>
      <c r="Y25" s="35">
        <f t="shared" ca="1" si="64"/>
        <v>6.954545454545455</v>
      </c>
      <c r="Z25" s="25" t="str">
        <f ca="1">Z22</f>
        <v>x5</v>
      </c>
      <c r="AC25" s="32" t="str">
        <f ca="1">IF(BT17=CF19,CG14,BT17)</f>
        <v>x2</v>
      </c>
      <c r="AD25" s="33">
        <f t="shared" ref="AD25:AJ25" ca="1" si="69">IF($AC25=$CG14,IF(BU$3=$CG14,BU17/BU17,BU17/$CF20),IF(BU$3=$CG14,0,BU17+(-1*INDEX($BU17:$CC17,0,MATCH($CG14,$BU$3:$CC$3,0)))*INDEX($BU15:$CC17,MATCH($CF19,$BT15:$BT17,0),MATCH(BU$3,$BU$3:$CC$3,0))/$CF20))</f>
        <v>0</v>
      </c>
      <c r="AE25" s="33">
        <f t="shared" ca="1" si="69"/>
        <v>1</v>
      </c>
      <c r="AF25" s="33">
        <f t="shared" ca="1" si="69"/>
        <v>-4.9999999999999991</v>
      </c>
      <c r="AG25" s="33">
        <f t="shared" ca="1" si="69"/>
        <v>-2.9999999999999996</v>
      </c>
      <c r="AH25" s="33">
        <f t="shared" ca="1" si="69"/>
        <v>0</v>
      </c>
      <c r="AI25" s="33">
        <f t="shared" ca="1" si="69"/>
        <v>0</v>
      </c>
      <c r="AJ25" s="33">
        <f t="shared" ca="1" si="69"/>
        <v>5.9999999999999991</v>
      </c>
      <c r="AK25" s="33">
        <f ca="1">IF($AC25=$CG14,IF(CC$3=$CG14,CC17/CC17,CC17/$CF20),IF(CC$3=$CG14,0,CC17+(-1*INDEX($BU17:$CC17,0,MATCH($CG14,$BU$3:$CC$3,0)))*INDEX($BU15:$CC17,MATCH($CF19,$BT15:$BT17,0),MATCH(CC$3,$BU$3:$CC$3,0))/$CF20))</f>
        <v>2.9999999999999996</v>
      </c>
      <c r="AM25" s="34" t="e">
        <f ca="1">_xlfn.CONCAT(AO25," = ",IF(INT(AK25)=AK25,AK25,TEXT(AK25,"??/??"))," ÷ ",IF(INT(INDEX(AD25:AJ25,0,MATCH(AO25,BU$3:CA$3,0)))=INDEX(AD25:AJ25,0,MATCH(AO25,BU$3:CA$3,0)),INDEX(AD25:AJ25,0,MATCH(AO25,BU$3:CA$3,0)),TEXT(INDEX(AD25:AJ25,0,MATCH(AO25,BU$3:CA$3,0)),"??/??"))," = ")</f>
        <v>#N/A</v>
      </c>
      <c r="AN25" s="35" t="e">
        <f ca="1">IF(AK25/INDEX(AD25:AJ25,0,MATCH(AO25,BU$3:CA$3,0))&lt;0,"Nao zera",AK25/INDEX(AD25:AJ25,0,MATCH(AO25,BU$3:CA$3,0)))</f>
        <v>#N/A</v>
      </c>
      <c r="AO25" s="25" t="str">
        <f ca="1">AO22</f>
        <v xml:space="preserve"> </v>
      </c>
      <c r="BA25" s="34" t="s">
        <v>38</v>
      </c>
      <c r="BB25" s="35" t="e">
        <f ca="1">INDEX(AS21:AX22,MATCH(BB24,AR21:AR22,0),MATCH(BC20,AS$3:AX$3,0))</f>
        <v>#N/A</v>
      </c>
      <c r="BC25" s="34"/>
      <c r="BO25" s="34"/>
      <c r="BP25" s="35"/>
      <c r="BQ25" s="34"/>
      <c r="BT25" s="32" t="str">
        <f ca="1">IF(BT15=CF19,CG14,BT15)</f>
        <v>x5</v>
      </c>
      <c r="BU25" s="38">
        <f ca="1">IF($BT25=$CG14,IF(BU$3=$CG14,BU15/BU15,BU15/$CF20),IF(BU$3=$CG14,0,BU15+(-1*INDEX($BU15:$CC15,0,MATCH($CG14,$BU$3:$CC$3,0)))*INDEX($BU15:$CC18,MATCH($CF19,$BT15:$BT18,0),MATCH(BU$3,$BU$3:$CC$3,0))/$CF20))</f>
        <v>0</v>
      </c>
      <c r="BV25" s="38">
        <f t="shared" ref="BV25:CC25" ca="1" si="70">IF($BT25=$CG14,IF(BV$3=$CG14,BV15/BV15,BV15/$CF20),IF(BV$3=$CG14,0,BV15+(-1*INDEX($BU15:$CC15,0,MATCH($CG14,$BU$3:$CC$3,0)))*INDEX($BU15:$CC18,MATCH($CF19,$BT15:$BT18,0),MATCH(BV$3,$BU$3:$CC$3,0))/$CF20))</f>
        <v>0</v>
      </c>
      <c r="BW25" s="38">
        <f t="shared" ca="1" si="70"/>
        <v>-1.0000000000000004</v>
      </c>
      <c r="BX25" s="38">
        <f t="shared" ca="1" si="70"/>
        <v>-1.6653345369377348E-16</v>
      </c>
      <c r="BY25" s="38">
        <f t="shared" ca="1" si="70"/>
        <v>1</v>
      </c>
      <c r="BZ25" s="38">
        <f t="shared" ca="1" si="70"/>
        <v>0</v>
      </c>
      <c r="CA25" s="38">
        <f t="shared" ca="1" si="70"/>
        <v>-0.99999999999999967</v>
      </c>
      <c r="CB25" s="38">
        <f t="shared" ca="1" si="70"/>
        <v>-1.0000000000000004</v>
      </c>
      <c r="CC25" s="38">
        <f t="shared" ca="1" si="70"/>
        <v>6.5</v>
      </c>
      <c r="CE25" s="34" t="e">
        <f ca="1">_xlfn.CONCAT(CG25," = ",IF(INT(CC25)=CC25,CC25,TEXT(CC25,"??/??"))," ÷ ",IF(INT(INDEX(BU25:CB25,0,MATCH(CG25,BU$3:CB$3,0)))=INDEX(BU25:CB25,0,MATCH(CG25,BU$3:CB$3,0)),INDEX(BU25:CB25,0,MATCH(CG25,BU$3:CB$3,0)),TEXT(INDEX(BU25:CB25,0,MATCH(CG25,BU$3:CB$3,0)),"??/??"))," = ")</f>
        <v>#N/A</v>
      </c>
      <c r="CF25" s="35" t="e">
        <f ca="1">IF(CC25/INDEX(BU25:CB25,0,MATCH(CG25,BU$3:CB$3,0))&lt;0,"Nao zera",CC25/INDEX(BU25:CB25,0,MATCH(CG25,BU$3:CB$3,0)))</f>
        <v>#N/A</v>
      </c>
      <c r="CG25" s="25" t="str">
        <f ca="1">CG24</f>
        <v xml:space="preserve"> </v>
      </c>
    </row>
    <row r="26" spans="2:85" x14ac:dyDescent="0.25">
      <c r="L26" s="25"/>
      <c r="X26" s="34"/>
      <c r="Y26" s="34"/>
      <c r="Z26" s="25"/>
      <c r="AM26" s="34"/>
      <c r="AN26" s="34"/>
      <c r="AO26" s="25"/>
      <c r="BT26" s="32" t="str">
        <f ca="1">IF(BT16=CF19,CG14,BT16)</f>
        <v>x6</v>
      </c>
      <c r="BU26" s="38">
        <f ca="1">IF($BT26=$CG14,IF(BU$3=$CG14,BU16/BU16,BU16/$CF20),IF(BU$3=$CG14,0,BU16+(-1*INDEX($BU16:$CC16,0,MATCH($CG14,$BU$3:$CC$3,0)))*INDEX($BU15:$CC18,MATCH($CF19,$BT15:$BT18,0),MATCH(BU$3,$BU$3:$CC$3,0))/$CF20))</f>
        <v>0</v>
      </c>
      <c r="BV26" s="38">
        <f t="shared" ref="BV26:CC26" ca="1" si="71">IF($BT26=$CG14,IF(BV$3=$CG14,BV16/BV16,BV16/$CF20),IF(BV$3=$CG14,0,BV16+(-1*INDEX($BU16:$CC16,0,MATCH($CG14,$BU$3:$CC$3,0)))*INDEX($BU15:$CC18,MATCH($CF19,$BT15:$BT18,0),MATCH(BV$3,$BU$3:$CC$3,0))/$CF20))</f>
        <v>0</v>
      </c>
      <c r="BW26" s="38">
        <f t="shared" ca="1" si="71"/>
        <v>2.0000000000000022</v>
      </c>
      <c r="BX26" s="38">
        <f t="shared" ca="1" si="71"/>
        <v>6.6613381477509392E-16</v>
      </c>
      <c r="BY26" s="38">
        <f t="shared" ca="1" si="71"/>
        <v>0</v>
      </c>
      <c r="BZ26" s="38">
        <f t="shared" ca="1" si="71"/>
        <v>1</v>
      </c>
      <c r="CA26" s="38">
        <f t="shared" ca="1" si="71"/>
        <v>3.9999999999999987</v>
      </c>
      <c r="CB26" s="38">
        <f t="shared" ca="1" si="71"/>
        <v>2.0000000000000013</v>
      </c>
      <c r="CC26" s="38">
        <f t="shared" ca="1" si="71"/>
        <v>18</v>
      </c>
      <c r="CE26" s="34" t="e">
        <f t="shared" ref="CE26:CE28" ca="1" si="72">_xlfn.CONCAT(CG26," = ",IF(INT(CC26)=CC26,CC26,TEXT(CC26,"??/??"))," ÷ ",IF(INT(INDEX(BU26:CB26,0,MATCH(CG26,BU$3:CB$3,0)))=INDEX(BU26:CB26,0,MATCH(CG26,BU$3:CB$3,0)),INDEX(BU26:CB26,0,MATCH(CG26,BU$3:CB$3,0)),TEXT(INDEX(BU26:CB26,0,MATCH(CG26,BU$3:CB$3,0)),"??/??"))," = ")</f>
        <v>#N/A</v>
      </c>
      <c r="CF26" s="35" t="e">
        <f t="shared" ref="CF26:CF28" ca="1" si="73">IF(CC26/INDEX(BU26:CB26,0,MATCH(CG26,BU$3:CB$3,0))&lt;0,"Nao zera",CC26/INDEX(BU26:CB26,0,MATCH(CG26,BU$3:CB$3,0)))</f>
        <v>#N/A</v>
      </c>
      <c r="CG26" s="25" t="str">
        <f ca="1">CG24</f>
        <v xml:space="preserve"> </v>
      </c>
    </row>
    <row r="27" spans="2:85" x14ac:dyDescent="0.25">
      <c r="J27" t="s">
        <v>37</v>
      </c>
      <c r="K27" t="str">
        <f ca="1">OFFSET(B23,MATCH(MIN(K23:K25),K23:K25,0)-1,0)</f>
        <v>x5</v>
      </c>
      <c r="X27" s="34" t="s">
        <v>37</v>
      </c>
      <c r="Y27" s="35" t="str">
        <f ca="1">OFFSET(O23,MATCH(MIN(Y23:Y25),Y23:Y25,0)-1,0)</f>
        <v>x6</v>
      </c>
      <c r="Z27" s="34"/>
      <c r="AM27" s="34" t="s">
        <v>37</v>
      </c>
      <c r="AN27" s="35" t="e">
        <f ca="1">OFFSET(AC23,MATCH(MIN(AN23:AN25),AN23:AN25,0)-1,0)</f>
        <v>#N/A</v>
      </c>
      <c r="AO27" s="34"/>
      <c r="BT27" s="32" t="str">
        <f ca="1">IF(BT17=CF19,CG14,BT17)</f>
        <v>x2</v>
      </c>
      <c r="BU27" s="38">
        <f ca="1">IF($BT27=$CG14,IF(BU$3=$CG14,BU17/BU17,BU17/$CF20),IF(BU$3=$CG14,0,BU17+(-1*INDEX($BU17:$CC17,0,MATCH($CG14,$BU$3:$CC$3,0)))*INDEX($BU15:$CC18,MATCH($CF19,$BT15:$BT18,0),MATCH(BU$3,$BU$3:$CC$3,0))/$CF20))</f>
        <v>0</v>
      </c>
      <c r="BV27" s="38">
        <f t="shared" ref="BV27:CC27" ca="1" si="74">IF($BT27=$CG14,IF(BV$3=$CG14,BV17/BV17,BV17/$CF20),IF(BV$3=$CG14,0,BV17+(-1*INDEX($BU17:$CC17,0,MATCH($CG14,$BU$3:$CC$3,0)))*INDEX($BU15:$CC18,MATCH($CF19,$BT15:$BT18,0),MATCH(BV$3,$BU$3:$CC$3,0))/$CF20))</f>
        <v>1</v>
      </c>
      <c r="BW27" s="38">
        <f t="shared" ca="1" si="74"/>
        <v>-4.9999999999999991</v>
      </c>
      <c r="BX27" s="38">
        <f t="shared" ca="1" si="74"/>
        <v>-2.9999999999999996</v>
      </c>
      <c r="BY27" s="38">
        <f t="shared" ca="1" si="74"/>
        <v>0</v>
      </c>
      <c r="BZ27" s="38">
        <f t="shared" ca="1" si="74"/>
        <v>0</v>
      </c>
      <c r="CA27" s="38">
        <f t="shared" ca="1" si="74"/>
        <v>5.9999999999999991</v>
      </c>
      <c r="CB27" s="38">
        <f t="shared" ca="1" si="74"/>
        <v>-3.9999999999999991</v>
      </c>
      <c r="CC27" s="38">
        <f t="shared" ca="1" si="74"/>
        <v>2.9999999999999996</v>
      </c>
      <c r="CE27" s="34" t="e">
        <f t="shared" ca="1" si="72"/>
        <v>#N/A</v>
      </c>
      <c r="CF27" s="35" t="e">
        <f t="shared" ca="1" si="73"/>
        <v>#N/A</v>
      </c>
      <c r="CG27" s="25" t="str">
        <f ca="1">CG24</f>
        <v xml:space="preserve"> </v>
      </c>
    </row>
    <row r="28" spans="2:85" x14ac:dyDescent="0.25">
      <c r="J28" t="s">
        <v>38</v>
      </c>
      <c r="K28" s="24">
        <f ca="1">INDEX(C23:G25,MATCH(K27,B23:B25,0),MATCH(L22,C$3:G$3,0))</f>
        <v>0.30555555555555552</v>
      </c>
      <c r="X28" s="34" t="s">
        <v>38</v>
      </c>
      <c r="Y28" s="35">
        <f ca="1">INDEX(P23:U25,MATCH(Y27,O23:O25,0),MATCH(Z22,P$3:U$3,0))</f>
        <v>0.30555555555555552</v>
      </c>
      <c r="Z28" s="34"/>
      <c r="AM28" s="34" t="s">
        <v>38</v>
      </c>
      <c r="AN28" s="35" t="e">
        <f ca="1">INDEX(AD23:AJ25,MATCH(AN27,AC23:AC25,0),MATCH(AO22,BU$3:CA$3,0))</f>
        <v>#N/A</v>
      </c>
      <c r="AO28" s="34"/>
      <c r="AR28" s="32"/>
      <c r="AS28" s="32"/>
      <c r="AT28" s="32"/>
      <c r="AU28" s="32"/>
      <c r="AV28" s="32"/>
      <c r="AW28" s="32"/>
      <c r="AX28" s="32"/>
      <c r="AY28" s="32"/>
      <c r="AZ28" s="32"/>
      <c r="BA28" s="34"/>
      <c r="BB28" s="34"/>
      <c r="BC28" s="34"/>
      <c r="BD28" s="34"/>
      <c r="BT28" s="32" t="str">
        <f ca="1">IF(BT18=CF19,CG14,BT18)</f>
        <v>x1</v>
      </c>
      <c r="BU28" s="38">
        <f ca="1">IF($BT28=$CG14,IF(BU$3=$CG14,BU18/BU18,BU18/$CF20),IF(BU$3=$CG14,0,BU18+(-1*INDEX($BU18:$CC18,0,MATCH($CG14,$BU$3:$CC$3,0)))*INDEX($BU15:$CC18,MATCH($CF19,$BT15:$BT18,0),MATCH(BU$3,$BU$3:$CC$3,0))/$CF20))</f>
        <v>1</v>
      </c>
      <c r="BV28" s="38">
        <f t="shared" ref="BV28:CC28" ca="1" si="75">IF($BT28=$CG14,IF(BV$3=$CG14,BV18/BV18,BV18/$CF20),IF(BV$3=$CG14,0,BV18+(-1*INDEX($BU18:$CC18,0,MATCH($CG14,$BU$3:$CC$3,0)))*INDEX($BU15:$CC18,MATCH($CF19,$BT15:$BT18,0),MATCH(BV$3,$BU$3:$CC$3,0))/$CF20))</f>
        <v>0</v>
      </c>
      <c r="BW28" s="38">
        <f t="shared" ca="1" si="75"/>
        <v>0.99999999999999978</v>
      </c>
      <c r="BX28" s="38">
        <f t="shared" ca="1" si="75"/>
        <v>0.99999999999999989</v>
      </c>
      <c r="BY28" s="38">
        <f t="shared" ca="1" si="75"/>
        <v>0</v>
      </c>
      <c r="BZ28" s="38">
        <f t="shared" ca="1" si="75"/>
        <v>0</v>
      </c>
      <c r="CA28" s="38">
        <f t="shared" ca="1" si="75"/>
        <v>-0.99999999999999978</v>
      </c>
      <c r="CB28" s="38">
        <f t="shared" ca="1" si="75"/>
        <v>0.99999999999999978</v>
      </c>
      <c r="CC28" s="38">
        <f t="shared" ca="1" si="75"/>
        <v>0.50000000000000011</v>
      </c>
      <c r="CE28" s="34" t="e">
        <f t="shared" ca="1" si="72"/>
        <v>#N/A</v>
      </c>
      <c r="CF28" s="35" t="e">
        <f t="shared" ca="1" si="73"/>
        <v>#N/A</v>
      </c>
      <c r="CG28" s="25" t="str">
        <f ca="1">CG24</f>
        <v xml:space="preserve"> </v>
      </c>
    </row>
    <row r="29" spans="2:85" x14ac:dyDescent="0.25">
      <c r="B29" s="45" t="s">
        <v>42</v>
      </c>
      <c r="C29" s="45"/>
      <c r="D29" s="45"/>
      <c r="E29" s="45"/>
      <c r="F29" s="45"/>
      <c r="G29" s="45"/>
      <c r="H29" s="45"/>
      <c r="AR29" s="32"/>
      <c r="AS29" s="33"/>
      <c r="AT29" s="33"/>
      <c r="AU29" s="33"/>
      <c r="AV29" s="33"/>
      <c r="AW29" s="33"/>
      <c r="AX29" s="33"/>
      <c r="AY29" s="33"/>
      <c r="AZ29" s="33"/>
      <c r="BA29" s="34"/>
      <c r="BB29" s="34"/>
      <c r="BC29" s="34"/>
      <c r="BD29" s="34"/>
      <c r="CE29" s="34" t="s">
        <v>37</v>
      </c>
      <c r="CF29" s="35" t="e">
        <f ca="1">OFFSET(BT25,MATCH(MIN(CF25:CF28),CF25:CF28,0)-1,0)</f>
        <v>#N/A</v>
      </c>
      <c r="CG29" s="34"/>
    </row>
    <row r="30" spans="2:85" x14ac:dyDescent="0.25">
      <c r="B30" s="32"/>
      <c r="C30" s="32" t="str">
        <f>C21</f>
        <v>x1</v>
      </c>
      <c r="D30" s="32" t="str">
        <f t="shared" ref="D30:H30" si="76">D21</f>
        <v>x2</v>
      </c>
      <c r="E30" s="32" t="str">
        <f t="shared" si="76"/>
        <v>x3</v>
      </c>
      <c r="F30" s="32" t="str">
        <f t="shared" si="76"/>
        <v>x4</v>
      </c>
      <c r="G30" s="32" t="str">
        <f t="shared" si="76"/>
        <v>x5</v>
      </c>
      <c r="H30" s="32" t="str">
        <f t="shared" si="76"/>
        <v>-z0</v>
      </c>
      <c r="O30" s="32"/>
      <c r="P30" s="32" t="str">
        <f>P21</f>
        <v>x1</v>
      </c>
      <c r="Q30" s="32" t="str">
        <f t="shared" ref="Q30:V30" si="77">Q21</f>
        <v>x2</v>
      </c>
      <c r="R30" s="32" t="str">
        <f t="shared" si="77"/>
        <v>x3</v>
      </c>
      <c r="S30" s="32" t="str">
        <f t="shared" si="77"/>
        <v>x4</v>
      </c>
      <c r="T30" s="32" t="str">
        <f t="shared" si="77"/>
        <v>x5</v>
      </c>
      <c r="U30" s="32" t="str">
        <f t="shared" si="77"/>
        <v>x6</v>
      </c>
      <c r="V30" s="32" t="str">
        <f t="shared" si="77"/>
        <v>-z0</v>
      </c>
      <c r="AC30" s="32"/>
      <c r="AD30" s="32" t="str">
        <f>AD21</f>
        <v>x1</v>
      </c>
      <c r="AE30" s="32" t="str">
        <f t="shared" ref="AE30:AK30" si="78">AE21</f>
        <v>x2</v>
      </c>
      <c r="AF30" s="32" t="str">
        <f t="shared" si="78"/>
        <v>x3</v>
      </c>
      <c r="AG30" s="32" t="str">
        <f t="shared" si="78"/>
        <v>x4</v>
      </c>
      <c r="AH30" s="32" t="str">
        <f t="shared" si="78"/>
        <v>x5</v>
      </c>
      <c r="AI30" s="32" t="str">
        <f t="shared" si="78"/>
        <v>x6</v>
      </c>
      <c r="AJ30" s="32" t="str">
        <f t="shared" si="78"/>
        <v>x7</v>
      </c>
      <c r="AK30" s="32" t="str">
        <f t="shared" si="78"/>
        <v>-z0</v>
      </c>
      <c r="AL30" s="34"/>
      <c r="AM30" s="34"/>
      <c r="AN30" s="34"/>
      <c r="AR30" s="32"/>
      <c r="AS30" s="33"/>
      <c r="AT30" s="33"/>
      <c r="AU30" s="33"/>
      <c r="AV30" s="33"/>
      <c r="AW30" s="33"/>
      <c r="AX30" s="33"/>
      <c r="AY30" s="33"/>
      <c r="AZ30" s="33"/>
      <c r="BA30" s="34"/>
      <c r="BB30" s="34"/>
      <c r="BC30" s="35"/>
      <c r="BD30" s="25"/>
      <c r="CE30" s="34" t="s">
        <v>38</v>
      </c>
      <c r="CF30" s="35" t="e">
        <f ca="1">INDEX(BU25:CB28,MATCH(CF29,BT25:BT28,0),MATCH(CG24,BU$3:CB$3,0))</f>
        <v>#N/A</v>
      </c>
      <c r="CG30" s="34"/>
    </row>
    <row r="31" spans="2:85" x14ac:dyDescent="0.25">
      <c r="B31" s="32" t="str">
        <f>B22</f>
        <v>-z</v>
      </c>
      <c r="C31" s="33">
        <f ca="1">IF($B31=$L22,IF(C$3=$L22,C22/C22,C22/$K28),IF(C$3=$L22,0,C22+(-1*INDEX($C22:$H22,0,MATCH($L22,$C$3:$H$3,0)))*INDEX($C23:$H25,MATCH($K27,$B23:$B25,0),MATCH(C$3,$C$3:$H$3,0))/$K28))</f>
        <v>0</v>
      </c>
      <c r="D31" s="33">
        <f t="shared" ref="D31:H31" ca="1" si="79">IF($B31=$L22,IF(D$3=$L22,D22/D22,D22/$K28),IF(D$3=$L22,0,D22+(-1*INDEX($C22:$H22,0,MATCH($L22,$C$3:$H$3,0)))*INDEX($C23:$H25,MATCH($K27,$B23:$B25,0),MATCH(D$3,$C$3:$H$3,0))/$K28))</f>
        <v>0</v>
      </c>
      <c r="E31" s="33">
        <f t="shared" ca="1" si="79"/>
        <v>1.3636363636363638</v>
      </c>
      <c r="F31" s="33">
        <f t="shared" ca="1" si="79"/>
        <v>0</v>
      </c>
      <c r="G31" s="33">
        <f t="shared" ca="1" si="79"/>
        <v>0.13636363636363624</v>
      </c>
      <c r="H31" s="33">
        <f t="shared" ca="1" si="79"/>
        <v>-9.2727272727272734</v>
      </c>
      <c r="J31" t="s">
        <v>36</v>
      </c>
      <c r="K31" t="str">
        <f t="array" aca="1" ref="K31" ca="1">IF(MIN(IF(C31:G31&gt;=0,1,-1))=1,"Não","Sim")</f>
        <v>Não</v>
      </c>
      <c r="L31" t="str">
        <f ca="1">IF(K31="Sim",INDEX(C30:G30,0,MATCH(MIN(C31:G31),C31:G31,0))," ")</f>
        <v xml:space="preserve"> </v>
      </c>
      <c r="O31" s="32" t="str">
        <f>O22</f>
        <v>-z</v>
      </c>
      <c r="P31" s="33">
        <f ca="1">IF($O31=$Z22,IF(P$3=$Z22,P22/P22,P22/$Y28),IF(P$3=$Z22,0,P22+(-1*INDEX($P22:$V22,0,MATCH($Z22,$P$3:$V$3,0)))*INDEX($P23:$V25,MATCH($Y27,$O23:$O25,0),MATCH(P$3,$P$3:$V$3,0))/$Y28))</f>
        <v>5.4372294372294379</v>
      </c>
      <c r="Q31" s="33">
        <f t="shared" ref="Q31:V31" ca="1" si="80">IF($O31=$Z22,IF(Q$3=$Z22,Q22/Q22,Q22/$Y28),IF(Q$3=$Z22,0,Q22+(-1*INDEX($P22:$V22,0,MATCH($Z22,$P$3:$V$3,0)))*INDEX($P23:$V25,MATCH($Y27,$O23:$O25,0),MATCH(Q$3,$P$3:$V$3,0))/$Y28))</f>
        <v>0</v>
      </c>
      <c r="R31" s="33">
        <f t="shared" ca="1" si="80"/>
        <v>0</v>
      </c>
      <c r="S31" s="33">
        <f t="shared" ca="1" si="80"/>
        <v>1.3636363636363638</v>
      </c>
      <c r="T31" s="33">
        <f t="shared" ca="1" si="80"/>
        <v>0</v>
      </c>
      <c r="U31" s="33">
        <f t="shared" ca="1" si="80"/>
        <v>0.13636363636363624</v>
      </c>
      <c r="V31" s="33">
        <f t="shared" ca="1" si="80"/>
        <v>-9.2727272727272734</v>
      </c>
      <c r="X31" s="34" t="s">
        <v>36</v>
      </c>
      <c r="Y31" s="34" t="str">
        <f t="array" aca="1" ref="Y31" ca="1">IF(MIN(IF(P31:U31&gt;=0,1,-1))=1,"Não","Sim")</f>
        <v>Não</v>
      </c>
      <c r="Z31" s="34" t="str">
        <f ca="1">IF(Y31="Sim",INDEX(P30:U30,0,MATCH(MIN(P31:U31),P31:U31,0))," ")</f>
        <v xml:space="preserve"> </v>
      </c>
      <c r="AC31" s="32" t="str">
        <f>AC22</f>
        <v>-z</v>
      </c>
      <c r="AD31" s="33" t="e">
        <f t="shared" ref="AD31:AJ31" ca="1" si="81">IF($AC31=$AO22,IF(BU$3=$AO22,AD22/AD22,AD22/$AN28),IF(BU$3=$AO22,0,AD22+(-1*INDEX($AD22:$AK22,0,MATCH($AO22,$BU$3:$CC$3,0)))*INDEX($AD23:$AK25,MATCH($AN27,$AC23:$AC25,0),MATCH(BU$3,$BU$3:$CC$3,0))/$AN28))</f>
        <v>#N/A</v>
      </c>
      <c r="AE31" s="33" t="e">
        <f t="shared" ca="1" si="81"/>
        <v>#N/A</v>
      </c>
      <c r="AF31" s="33" t="e">
        <f t="shared" ca="1" si="81"/>
        <v>#N/A</v>
      </c>
      <c r="AG31" s="33" t="e">
        <f t="shared" ca="1" si="81"/>
        <v>#N/A</v>
      </c>
      <c r="AH31" s="33" t="e">
        <f t="shared" ca="1" si="81"/>
        <v>#N/A</v>
      </c>
      <c r="AI31" s="33" t="e">
        <f t="shared" ca="1" si="81"/>
        <v>#N/A</v>
      </c>
      <c r="AJ31" s="33" t="e">
        <f t="shared" ca="1" si="81"/>
        <v>#N/A</v>
      </c>
      <c r="AK31" s="33" t="e">
        <f ca="1">IF($AC31=$AO22,IF(CC$3=$AO22,AK22/AK22,AK22/$AN28),IF(CC$3=$AO22,0,AK22+(-1*INDEX($AD22:$AK22,0,MATCH($AO22,$BU$3:$CC$3,0)))*INDEX($AD23:$AK25,MATCH($AN27,$AC23:$AC25,0),MATCH(CC$3,$BU$3:$CC$3,0))/$AN28))</f>
        <v>#N/A</v>
      </c>
      <c r="AL31" s="34"/>
      <c r="AM31" s="34" t="s">
        <v>36</v>
      </c>
      <c r="AN31" s="34" t="e">
        <f t="array" aca="1" ref="AN31" ca="1">IF(MIN(IF(AD31:AJ31&gt;=0,1,-1))=1,"Não","Sim")</f>
        <v>#N/A</v>
      </c>
      <c r="AO31" s="34" t="e">
        <f ca="1">IF(AN31="Sim",INDEX(AD30:AJ30,0,MATCH(MIN(AD31:AJ31),AD31:AJ31,0))," ")</f>
        <v>#N/A</v>
      </c>
      <c r="AR31" s="32"/>
      <c r="AS31" s="33"/>
      <c r="AT31" s="33"/>
      <c r="AU31" s="33"/>
      <c r="AV31" s="33"/>
      <c r="AW31" s="33"/>
      <c r="AX31" s="33"/>
      <c r="AY31" s="33"/>
      <c r="AZ31" s="33"/>
      <c r="BA31" s="34"/>
      <c r="BB31" s="34"/>
      <c r="BC31" s="35"/>
      <c r="BD31" s="25"/>
    </row>
    <row r="32" spans="2:85" x14ac:dyDescent="0.25">
      <c r="B32" s="32" t="str">
        <f ca="1">IF(B23=K27,L22,B23)</f>
        <v>x2</v>
      </c>
      <c r="C32" s="33">
        <f ca="1">IF($B32=$L23,IF(C$3=$L23,C23/C23,C23/$K28),IF(C$3=$L23,0,C23+(-1*INDEX($C23:$H23,0,MATCH($L23,$C$3:$H$3,0)))*INDEX($C23:$H25,MATCH($K27,$B23:$B25,0),MATCH(C$3,$C$3:$H$3,0))/$K28))</f>
        <v>0</v>
      </c>
      <c r="D32" s="33">
        <f t="shared" ref="D32:H32" ca="1" si="82">IF($B32=$L23,IF(D$3=$L23,D23/D23,D23/$K28),IF(D$3=$L23,0,D23+(-1*INDEX($C23:$H23,0,MATCH($L23,$C$3:$H$3,0)))*INDEX($C23:$H25,MATCH($K27,$B23:$B25,0),MATCH(D$3,$C$3:$H$3,0))/$K28))</f>
        <v>1</v>
      </c>
      <c r="E32" s="33">
        <f t="shared" ca="1" si="82"/>
        <v>0.81818181818181812</v>
      </c>
      <c r="F32" s="33">
        <f t="shared" ca="1" si="82"/>
        <v>0</v>
      </c>
      <c r="G32" s="33">
        <f t="shared" ca="1" si="82"/>
        <v>2.1818181818181821</v>
      </c>
      <c r="H32" s="33">
        <f t="shared" ca="1" si="82"/>
        <v>7.6363636363636367</v>
      </c>
      <c r="J32" t="e">
        <f ca="1">_xlfn.CONCAT(L32," = ",IF(INT(H32)=H32,H32,TEXT(H32,"??/??"))," ÷ ",IF(INT(INDEX(C32:G32,0,MATCH(L32,C$3:G$3,0)))=INDEX(C32:G32,0,MATCH(L32,C$3:G$3,0)),INDEX(C32:G32,0,MATCH(L32,C$3:G$3,0)),TEXT(INDEX(C32:G32,0,MATCH(L32,C$3:G$3,0)),"??/??"))," = ")</f>
        <v>#N/A</v>
      </c>
      <c r="K32" s="24" t="e">
        <f ca="1">IF(H32/INDEX(C32:G32,0,MATCH(L32,C$3:G$3,0))&lt;0,"Nao zera",H32/INDEX(C32:G32,0,MATCH(L32,C$3:G$3,0)))</f>
        <v>#N/A</v>
      </c>
      <c r="L32" s="25" t="str">
        <f ca="1">L31</f>
        <v xml:space="preserve"> </v>
      </c>
      <c r="O32" s="32" t="str">
        <f ca="1">IF(O23=Y27,Z22,O23)</f>
        <v>x3</v>
      </c>
      <c r="P32" s="33">
        <f ca="1">IF($O32=$Z22,IF(P$3=$Z22,P23/P23,P23/$Y28),IF(P$3=$Z22,0,P23+(-1*INDEX($P23:$V23,0,MATCH($Z22,$P$3:$V$3,0)))*INDEX($P23:$V25,MATCH($Y27,$O23:$O25,0),MATCH(P$3,$P$3:$V$3,0))/$Y28))</f>
        <v>3.6623376623376624</v>
      </c>
      <c r="Q32" s="33">
        <f t="shared" ref="Q32:V32" ca="1" si="83">IF($O32=$Z22,IF(Q$3=$Z22,Q23/Q23,Q23/$Y28),IF(Q$3=$Z22,0,Q23+(-1*INDEX($P23:$V23,0,MATCH($Z22,$P$3:$V$3,0)))*INDEX($P23:$V25,MATCH($Y27,$O23:$O25,0),MATCH(Q$3,$P$3:$V$3,0))/$Y28))</f>
        <v>0</v>
      </c>
      <c r="R32" s="33">
        <f t="shared" ca="1" si="83"/>
        <v>1</v>
      </c>
      <c r="S32" s="33">
        <f t="shared" ca="1" si="83"/>
        <v>0.81818181818181812</v>
      </c>
      <c r="T32" s="33">
        <f t="shared" ca="1" si="83"/>
        <v>0</v>
      </c>
      <c r="U32" s="33">
        <f t="shared" ca="1" si="83"/>
        <v>2.1818181818181821</v>
      </c>
      <c r="V32" s="33">
        <f t="shared" ca="1" si="83"/>
        <v>7.6363636363636367</v>
      </c>
      <c r="X32" s="34" t="e">
        <f ca="1">_xlfn.CONCAT(Z32," = ",IF(INT(V32)=V32,V32,TEXT(V32,"??/??"))," ÷ ",IF(INT(INDEX(P32:U32,0,MATCH(Z32,P$3:U$3,0)))=INDEX(P32:U32,0,MATCH(Z32,P$3:U$3,0)),INDEX(P32:U32,0,MATCH(Z32,P$3:U$3,0)),TEXT(INDEX(P32:U32,0,MATCH(Z32,P$3:U$3,0)),"??/??"))," = ")</f>
        <v>#N/A</v>
      </c>
      <c r="Y32" s="35" t="e">
        <f ca="1">IF(V32/INDEX(P32:U32,0,MATCH(Z32,P$3:U$3,0))&lt;0,"Nao zera",V32/INDEX(P32:U32,0,MATCH(Z32,P$3:U$3,0)))</f>
        <v>#N/A</v>
      </c>
      <c r="Z32" s="25" t="str">
        <f ca="1">Z31</f>
        <v xml:space="preserve"> </v>
      </c>
      <c r="AC32" s="32" t="e">
        <f ca="1">IF(AC23=AN27,AO22,AC23)</f>
        <v>#N/A</v>
      </c>
      <c r="AD32" s="33" t="e">
        <f t="shared" ref="AD32:AJ32" ca="1" si="84">IF($AC32=$AO22,IF(BU$3=$AO22,AD23/AD23,AD23/$AN28),IF(BU$3=$AO22,0,AD23+(-1*INDEX($AD23:$AK23,0,MATCH($AO22,$BU$3:$CC$3,0)))*INDEX($AD23:$AK25,MATCH($AN27,$AC23:$AC25,0),MATCH(BU$3,$BU$3:$CC$3,0))/$AN28))</f>
        <v>#N/A</v>
      </c>
      <c r="AE32" s="33" t="e">
        <f t="shared" ca="1" si="84"/>
        <v>#N/A</v>
      </c>
      <c r="AF32" s="33" t="e">
        <f t="shared" ca="1" si="84"/>
        <v>#N/A</v>
      </c>
      <c r="AG32" s="33" t="e">
        <f t="shared" ca="1" si="84"/>
        <v>#N/A</v>
      </c>
      <c r="AH32" s="33" t="e">
        <f t="shared" ca="1" si="84"/>
        <v>#N/A</v>
      </c>
      <c r="AI32" s="33" t="e">
        <f t="shared" ca="1" si="84"/>
        <v>#N/A</v>
      </c>
      <c r="AJ32" s="33" t="e">
        <f t="shared" ca="1" si="84"/>
        <v>#N/A</v>
      </c>
      <c r="AK32" s="33" t="e">
        <f ca="1">IF($AC32=$AO22,IF(CC$3=$AO22,AK23/AK23,AK23/$AN28),IF(CC$3=$AO22,0,AK23+(-1*INDEX($AD23:$AK23,0,MATCH($AO22,$BU$3:$CC$3,0)))*INDEX($AD23:$AK25,MATCH($AN27,$AC23:$AC25,0),MATCH(CC$3,$BU$3:$CC$3,0))/$AN28))</f>
        <v>#N/A</v>
      </c>
      <c r="AL32" s="34"/>
      <c r="AM32" s="34" t="e">
        <f ca="1">_xlfn.CONCAT(AO32," = ",IF(INT(AK32)=AK32,AK32,TEXT(AK32,"??/??"))," ÷ ",IF(INT(INDEX(AD32:AJ32,0,MATCH(AO32,BU$3:CA$3,0)))=INDEX(AD32:AJ32,0,MATCH(AO32,BU$3:CA$3,0)),INDEX(AD32:AJ32,0,MATCH(AO32,BU$3:CA$3,0)),TEXT(INDEX(AD32:AJ32,0,MATCH(AO32,BU$3:CA$3,0)),"??/??"))," = ")</f>
        <v>#N/A</v>
      </c>
      <c r="AN32" s="35" t="e">
        <f ca="1">IF(AK32/INDEX(AD32:AJ32,0,MATCH(AO32,BU$3:CA$3,0))&lt;0,"Nao zera",AK32/INDEX(AD32:AJ32,0,MATCH(AO32,BU$3:CA$3,0)))</f>
        <v>#N/A</v>
      </c>
      <c r="AO32" s="25" t="e">
        <f ca="1">AO31</f>
        <v>#N/A</v>
      </c>
      <c r="AR32" s="32"/>
      <c r="AS32" s="33"/>
      <c r="AT32" s="33"/>
      <c r="AU32" s="33"/>
      <c r="AV32" s="33"/>
      <c r="AW32" s="33"/>
      <c r="AX32" s="33"/>
      <c r="AY32" s="33"/>
      <c r="AZ32" s="33"/>
      <c r="BA32" s="34"/>
      <c r="BB32" s="34"/>
      <c r="BC32" s="35"/>
      <c r="BD32" s="25"/>
    </row>
    <row r="33" spans="2:85" x14ac:dyDescent="0.25">
      <c r="B33" s="32" t="str">
        <f ca="1">IF(B24=K27,L22,B24)</f>
        <v>x1</v>
      </c>
      <c r="C33" s="33">
        <f ca="1">IF($B33=$L24,IF(C$3=$L24,C24/C24,C24/$K28),IF(C$3=$L24,0,C24+(-1*INDEX($C24:$H24,0,MATCH($L24,$C$3:$H$3,0)))*INDEX($C23:$H25,MATCH($K27,$B23:$B25,0),MATCH(C$3,$C$3:$H$3,0))/$K28))</f>
        <v>1</v>
      </c>
      <c r="D33" s="33">
        <f t="shared" ref="D33:H33" ca="1" si="85">IF($B33=$L24,IF(D$3=$L24,D24/D24,D24/$K28),IF(D$3=$L24,0,D24+(-1*INDEX($C24:$H24,0,MATCH($L24,$C$3:$H$3,0)))*INDEX($C23:$H25,MATCH($K27,$B23:$B25,0),MATCH(D$3,$C$3:$H$3,0))/$K28))</f>
        <v>0</v>
      </c>
      <c r="E33" s="33">
        <f t="shared" ca="1" si="85"/>
        <v>1.0909090909090908</v>
      </c>
      <c r="F33" s="33">
        <f t="shared" ca="1" si="85"/>
        <v>0</v>
      </c>
      <c r="G33" s="33">
        <f t="shared" ca="1" si="85"/>
        <v>-1.0909090909090911</v>
      </c>
      <c r="H33" s="33">
        <f t="shared" ca="1" si="85"/>
        <v>2.1818181818181817</v>
      </c>
      <c r="J33" t="e">
        <f ca="1">_xlfn.CONCAT(L33," = ",IF(INT(H33)=H33,H33,TEXT(H33,"??/??"))," ÷ ",IF(INT(INDEX(C33:G33,0,MATCH(L33,C$3:G$3,0)))=INDEX(C33:G33,0,MATCH(L33,C$3:G$3,0)),INDEX(C33:G33,0,MATCH(L33,C$3:G$3,0)),TEXT(INDEX(C33:G33,0,MATCH(L33,C$3:G$3,0)),"??/??"))," = ")</f>
        <v>#N/A</v>
      </c>
      <c r="K33" s="24" t="e">
        <f ca="1">IF(H33/INDEX(C33:G33,0,MATCH(L33,C$3:G$3,0))&lt;0,"Nao zera",H33/INDEX(C33:G33,0,MATCH(L33,C$3:G$3,0)))</f>
        <v>#N/A</v>
      </c>
      <c r="L33" s="25" t="str">
        <f ca="1">L31</f>
        <v xml:space="preserve"> </v>
      </c>
      <c r="O33" s="32" t="str">
        <f ca="1">IF(O24=Y27,Z22,O24)</f>
        <v>x2</v>
      </c>
      <c r="P33" s="33">
        <f ca="1">IF($O33=$Z22,IF(P$3=$Z22,P24/P24,P24/$Y28),IF(P$3=$Z22,0,P24+(-1*INDEX($P24:$V24,0,MATCH($Z22,$P$3:$V$3,0)))*INDEX($P23:$V25,MATCH($Y27,$O23:$O25,0),MATCH(P$3,$P$3:$V$3,0))/$Y28))</f>
        <v>3.1688311688311694</v>
      </c>
      <c r="Q33" s="33">
        <f t="shared" ref="Q33:V33" ca="1" si="86">IF($O33=$Z22,IF(Q$3=$Z22,Q24/Q24,Q24/$Y28),IF(Q$3=$Z22,0,Q24+(-1*INDEX($P24:$V24,0,MATCH($Z22,$P$3:$V$3,0)))*INDEX($P23:$V25,MATCH($Y27,$O23:$O25,0),MATCH(Q$3,$P$3:$V$3,0))/$Y28))</f>
        <v>1</v>
      </c>
      <c r="R33" s="33">
        <f t="shared" ca="1" si="86"/>
        <v>0</v>
      </c>
      <c r="S33" s="33">
        <f t="shared" ca="1" si="86"/>
        <v>1.0909090909090908</v>
      </c>
      <c r="T33" s="33">
        <f t="shared" ca="1" si="86"/>
        <v>0</v>
      </c>
      <c r="U33" s="33">
        <f t="shared" ca="1" si="86"/>
        <v>-1.0909090909090911</v>
      </c>
      <c r="V33" s="33">
        <f t="shared" ca="1" si="86"/>
        <v>2.1818181818181817</v>
      </c>
      <c r="X33" s="34" t="e">
        <f t="shared" ref="X33:X34" ca="1" si="87">_xlfn.CONCAT(Z33," = ",IF(INT(V33)=V33,V33,TEXT(V33,"??/??"))," ÷ ",IF(INT(INDEX(P33:U33,0,MATCH(Z33,P$3:U$3,0)))=INDEX(P33:U33,0,MATCH(Z33,P$3:U$3,0)),INDEX(P33:U33,0,MATCH(Z33,P$3:U$3,0)),TEXT(INDEX(P33:U33,0,MATCH(Z33,P$3:U$3,0)),"??/??"))," = ")</f>
        <v>#N/A</v>
      </c>
      <c r="Y33" s="35" t="e">
        <f t="shared" ref="Y33:Y34" ca="1" si="88">IF(V33/INDEX(P33:U33,0,MATCH(Z33,P$3:U$3,0))&lt;0,"Nao zera",V33/INDEX(P33:U33,0,MATCH(Z33,P$3:U$3,0)))</f>
        <v>#N/A</v>
      </c>
      <c r="Z33" s="25" t="str">
        <f ca="1">Z31</f>
        <v xml:space="preserve"> </v>
      </c>
      <c r="AC33" s="32" t="e">
        <f ca="1">IF(AC24=AN27,AO22,AC24)</f>
        <v>#N/A</v>
      </c>
      <c r="AD33" s="33" t="e">
        <f t="shared" ref="AD33:AJ33" ca="1" si="89">IF($AC33=$AO22,IF(BU$3=$AO22,AD24/AD24,AD24/$AN28),IF(BU$3=$AO22,0,AD24+(-1*INDEX($AD24:$AK24,0,MATCH($AO22,$BU$3:$CC$3,0)))*INDEX($AD23:$AK25,MATCH($AN27,$AC23:$AC25,0),MATCH(BU$3,$BU$3:$CC$3,0))/$AN28))</f>
        <v>#N/A</v>
      </c>
      <c r="AE33" s="33" t="e">
        <f t="shared" ca="1" si="89"/>
        <v>#N/A</v>
      </c>
      <c r="AF33" s="33" t="e">
        <f t="shared" ca="1" si="89"/>
        <v>#N/A</v>
      </c>
      <c r="AG33" s="33" t="e">
        <f t="shared" ca="1" si="89"/>
        <v>#N/A</v>
      </c>
      <c r="AH33" s="33" t="e">
        <f t="shared" ca="1" si="89"/>
        <v>#N/A</v>
      </c>
      <c r="AI33" s="33" t="e">
        <f t="shared" ca="1" si="89"/>
        <v>#N/A</v>
      </c>
      <c r="AJ33" s="33" t="e">
        <f t="shared" ca="1" si="89"/>
        <v>#N/A</v>
      </c>
      <c r="AK33" s="33" t="e">
        <f ca="1">IF($AC33=$AO22,IF(CC$3=$AO22,AK24/AK24,AK24/$AN28),IF(CC$3=$AO22,0,AK24+(-1*INDEX($AD24:$AK24,0,MATCH($AO22,$BU$3:$CC$3,0)))*INDEX($AD23:$AK25,MATCH($AN27,$AC23:$AC25,0),MATCH(CC$3,$BU$3:$CC$3,0))/$AN28))</f>
        <v>#N/A</v>
      </c>
      <c r="AL33" s="34"/>
      <c r="AM33" s="34" t="e">
        <f ca="1">_xlfn.CONCAT(AO33," = ",IF(INT(AK33)=AK33,AK33,TEXT(AK33,"??/??"))," ÷ ",IF(INT(INDEX(AD33:AJ33,0,MATCH(AO33,BU$3:CA$3,0)))=INDEX(AD33:AJ33,0,MATCH(AO33,BU$3:CA$3,0)),INDEX(AD33:AJ33,0,MATCH(AO33,BU$3:CA$3,0)),TEXT(INDEX(AD33:AJ33,0,MATCH(AO33,BU$3:CA$3,0)),"??/??"))," = ")</f>
        <v>#N/A</v>
      </c>
      <c r="AN33" s="35" t="e">
        <f ca="1">IF(AK33/INDEX(AD33:AJ33,0,MATCH(AO33,BU$3:CA$3,0))&lt;0,"Nao zera",AK33/INDEX(AD33:AJ33,0,MATCH(AO33,BU$3:CA$3,0)))</f>
        <v>#N/A</v>
      </c>
      <c r="AO33" s="25" t="e">
        <f ca="1">AO31</f>
        <v>#N/A</v>
      </c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5"/>
      <c r="BT33" s="32"/>
      <c r="BU33" s="32"/>
      <c r="BV33" s="32"/>
      <c r="BW33" s="32"/>
      <c r="BX33" s="32"/>
      <c r="BY33" s="32"/>
      <c r="BZ33" s="32"/>
      <c r="CA33" s="32"/>
      <c r="CB33" s="32"/>
      <c r="CC33" s="32"/>
    </row>
    <row r="34" spans="2:85" x14ac:dyDescent="0.25">
      <c r="B34" s="32" t="str">
        <f ca="1">IF(B25=K27,L22,B25)</f>
        <v>x4</v>
      </c>
      <c r="C34" s="33">
        <f ca="1">IF($B34=$L25,IF(C$3=$L25,C25/C25,C25/$K28),IF(C$3=$L25,0,C25+(-1*INDEX($C25:$H25,0,MATCH($L25,$C$3:$H$3,0)))*INDEX($C23:$H25,MATCH($K27,$B23:$B25,0),MATCH(C$3,$C$3:$H$3,0))/$K28))</f>
        <v>0</v>
      </c>
      <c r="D34" s="33">
        <f t="shared" ref="D34:H34" ca="1" si="90">IF($B34=$L25,IF(D$3=$L25,D25/D25,D25/$K28),IF(D$3=$L25,0,D25+(-1*INDEX($C25:$H25,0,MATCH($L25,$C$3:$H$3,0)))*INDEX($C23:$H25,MATCH($K27,$B23:$B25,0),MATCH(D$3,$C$3:$H$3,0))/$K28))</f>
        <v>0</v>
      </c>
      <c r="E34" s="33">
        <f t="shared" ca="1" si="90"/>
        <v>-1.0227272727272729</v>
      </c>
      <c r="F34" s="33">
        <f t="shared" ca="1" si="90"/>
        <v>1</v>
      </c>
      <c r="G34" s="33">
        <f t="shared" ca="1" si="90"/>
        <v>3.2727272727272729</v>
      </c>
      <c r="H34" s="33">
        <f t="shared" ca="1" si="90"/>
        <v>6.954545454545455</v>
      </c>
      <c r="J34" t="e">
        <f ca="1">_xlfn.CONCAT(L34," = ",IF(INT(H34)=H34,H34,TEXT(H34,"??/??"))," ÷ ",IF(INT(INDEX(C34:G34,0,MATCH(L34,C$3:G$3,0)))=INDEX(C34:G34,0,MATCH(L34,C$3:G$3,0)),INDEX(C34:G34,0,MATCH(L34,C$3:G$3,0)),TEXT(INDEX(C34:G34,0,MATCH(L34,C$3:G$3,0)),"??/??"))," = ")</f>
        <v>#N/A</v>
      </c>
      <c r="K34" s="24" t="e">
        <f ca="1">IF(H34/INDEX(C34:G34,0,MATCH(L34,C$3:G$3,0))&lt;0,"Nao zera",H34/INDEX(C34:G34,0,MATCH(L34,C$3:G$3,0)))</f>
        <v>#N/A</v>
      </c>
      <c r="L34" s="25" t="str">
        <f ca="1">L31</f>
        <v xml:space="preserve"> </v>
      </c>
      <c r="O34" s="32" t="str">
        <f ca="1">IF(O25=Y27,Z22,O25)</f>
        <v>x5</v>
      </c>
      <c r="P34" s="33">
        <f ca="1">IF($O34=$Z22,IF(P$3=$Z22,P25/P25,P25/$Y28),IF(P$3=$Z22,0,P25+(-1*INDEX($P25:$V25,0,MATCH($Z22,$P$3:$V$3,0)))*INDEX($P23:$V25,MATCH($Y27,$O23:$O25,0),MATCH(P$3,$P$3:$V$3,0))/$Y28))</f>
        <v>3.493506493506493</v>
      </c>
      <c r="Q34" s="33">
        <f t="shared" ref="Q34:V34" ca="1" si="91">IF($O34=$Z22,IF(Q$3=$Z22,Q25/Q25,Q25/$Y28),IF(Q$3=$Z22,0,Q25+(-1*INDEX($P25:$V25,0,MATCH($Z22,$P$3:$V$3,0)))*INDEX($P23:$V25,MATCH($Y27,$O23:$O25,0),MATCH(Q$3,$P$3:$V$3,0))/$Y28))</f>
        <v>0</v>
      </c>
      <c r="R34" s="33">
        <f t="shared" ca="1" si="91"/>
        <v>0</v>
      </c>
      <c r="S34" s="33">
        <f t="shared" ca="1" si="91"/>
        <v>-1.0227272727272729</v>
      </c>
      <c r="T34" s="33">
        <f t="shared" ca="1" si="91"/>
        <v>1</v>
      </c>
      <c r="U34" s="33">
        <f t="shared" ca="1" si="91"/>
        <v>3.2727272727272729</v>
      </c>
      <c r="V34" s="33">
        <f t="shared" ca="1" si="91"/>
        <v>6.954545454545455</v>
      </c>
      <c r="X34" s="34" t="e">
        <f t="shared" ca="1" si="87"/>
        <v>#N/A</v>
      </c>
      <c r="Y34" s="35" t="e">
        <f t="shared" ca="1" si="88"/>
        <v>#N/A</v>
      </c>
      <c r="Z34" s="25" t="str">
        <f ca="1">Z31</f>
        <v xml:space="preserve"> </v>
      </c>
      <c r="AC34" s="32" t="e">
        <f ca="1">IF(AC25=AN27,AO22,AC25)</f>
        <v>#N/A</v>
      </c>
      <c r="AD34" s="33" t="e">
        <f t="shared" ref="AD34:AJ34" ca="1" si="92">IF($AC34=$AO22,IF(BU$3=$AO22,AD25/AD25,AD25/$AN28),IF(BU$3=$AO22,0,AD25+(-1*INDEX($AD25:$AK25,0,MATCH($AO22,$BU$3:$CC$3,0)))*INDEX($AD23:$AK25,MATCH($AN27,$AC23:$AC25,0),MATCH(BU$3,$BU$3:$CC$3,0))/$AN28))</f>
        <v>#N/A</v>
      </c>
      <c r="AE34" s="33" t="e">
        <f t="shared" ca="1" si="92"/>
        <v>#N/A</v>
      </c>
      <c r="AF34" s="33" t="e">
        <f t="shared" ca="1" si="92"/>
        <v>#N/A</v>
      </c>
      <c r="AG34" s="33" t="e">
        <f t="shared" ca="1" si="92"/>
        <v>#N/A</v>
      </c>
      <c r="AH34" s="33" t="e">
        <f t="shared" ca="1" si="92"/>
        <v>#N/A</v>
      </c>
      <c r="AI34" s="33" t="e">
        <f t="shared" ca="1" si="92"/>
        <v>#N/A</v>
      </c>
      <c r="AJ34" s="33" t="e">
        <f t="shared" ca="1" si="92"/>
        <v>#N/A</v>
      </c>
      <c r="AK34" s="33" t="e">
        <f ca="1">IF($AC34=$AO22,IF(CC$3=$AO22,AK25/AK25,AK25/$AN28),IF(CC$3=$AO22,0,AK25+(-1*INDEX($AD25:$AK25,0,MATCH($AO22,$BU$3:$CC$3,0)))*INDEX($AD23:$AK25,MATCH($AN27,$AC23:$AC25,0),MATCH(CC$3,$BU$3:$CC$3,0))/$AN28))</f>
        <v>#N/A</v>
      </c>
      <c r="AL34" s="34"/>
      <c r="AM34" s="34" t="e">
        <f ca="1">_xlfn.CONCAT(AO34," = ",IF(INT(AK34)=AK34,AK34,TEXT(AK34,"??/??"))," ÷ ",IF(INT(INDEX(AD34:AJ34,0,MATCH(AO34,BU$3:CA$3,0)))=INDEX(AD34:AJ34,0,MATCH(AO34,BU$3:CA$3,0)),INDEX(AD34:AJ34,0,MATCH(AO34,BU$3:CA$3,0)),TEXT(INDEX(AD34:AJ34,0,MATCH(AO34,BU$3:CA$3,0)),"??/??"))," = ")</f>
        <v>#N/A</v>
      </c>
      <c r="AN34" s="35" t="e">
        <f ca="1">IF(AK34/INDEX(AD34:AJ34,0,MATCH(AO34,BU$3:CA$3,0))&lt;0,"Nao zera",AK34/INDEX(AD34:AJ34,0,MATCH(AO34,BU$3:CA$3,0)))</f>
        <v>#N/A</v>
      </c>
      <c r="AO34" s="25" t="e">
        <f ca="1">AO31</f>
        <v>#N/A</v>
      </c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5"/>
      <c r="BD34" s="34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E34" s="34"/>
      <c r="CF34" s="34"/>
      <c r="CG34" s="34" t="str">
        <f>IF(CF34="Sim",INDEX(BU33:CB33,0,MATCH(MIN(BU34:CB34),BU34:CB34,0))," ")</f>
        <v xml:space="preserve"> </v>
      </c>
    </row>
    <row r="35" spans="2:85" x14ac:dyDescent="0.25">
      <c r="L35" s="25"/>
      <c r="X35" s="34"/>
      <c r="Y35" s="34"/>
      <c r="Z35" s="25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25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5"/>
      <c r="BD35" s="34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E35" s="34"/>
      <c r="CF35" s="35"/>
      <c r="CG35" s="25" t="str">
        <f>CG34</f>
        <v xml:space="preserve"> </v>
      </c>
    </row>
    <row r="36" spans="2:85" x14ac:dyDescent="0.25">
      <c r="J36" t="s">
        <v>37</v>
      </c>
      <c r="K36" t="e">
        <f ca="1">OFFSET(B32,MATCH(MIN(K32:K34),K32:K34,0)-1,0)</f>
        <v>#N/A</v>
      </c>
      <c r="X36" s="34" t="s">
        <v>37</v>
      </c>
      <c r="Y36" s="35" t="e">
        <f ca="1">OFFSET(O32,MATCH(MIN(Y32:Y34),Y32:Y34,0)-1,0)</f>
        <v>#N/A</v>
      </c>
      <c r="Z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 t="s">
        <v>37</v>
      </c>
      <c r="AN36" s="35" t="e">
        <f ca="1">OFFSET(AC32,MATCH(MIN(AN32:AN34),AN32:AN34,0)-1,0)</f>
        <v>#N/A</v>
      </c>
      <c r="AO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E36" s="34"/>
      <c r="CF36" s="35"/>
      <c r="CG36" s="25" t="str">
        <f>CG34</f>
        <v xml:space="preserve"> </v>
      </c>
    </row>
    <row r="37" spans="2:85" x14ac:dyDescent="0.25">
      <c r="J37" t="s">
        <v>38</v>
      </c>
      <c r="K37" s="24" t="e">
        <f ca="1">INDEX(C32:G34,MATCH(K36,B32:B34,0),MATCH(L31,C$3:G$3,0))</f>
        <v>#N/A</v>
      </c>
      <c r="X37" s="34" t="s">
        <v>38</v>
      </c>
      <c r="Y37" s="35" t="e">
        <f ca="1">INDEX(P32:U34,MATCH(Y36,O32:O34,0),MATCH(Z31,P$3:U$3,0))</f>
        <v>#N/A</v>
      </c>
      <c r="Z37" s="34"/>
      <c r="AM37" s="34" t="s">
        <v>38</v>
      </c>
      <c r="AN37" s="35" t="e">
        <f ca="1">INDEX(AD32:AJ34,MATCH(AN36,AC32:AC34,0),MATCH(AO31,BU$3:CA$3,0))</f>
        <v>#N/A</v>
      </c>
      <c r="AO37" s="34"/>
      <c r="AR37" s="32"/>
      <c r="AS37" s="32"/>
      <c r="AT37" s="32"/>
      <c r="AU37" s="32"/>
      <c r="AV37" s="32"/>
      <c r="AW37" s="32"/>
      <c r="AX37" s="32"/>
      <c r="AY37" s="32"/>
      <c r="AZ37" s="32"/>
      <c r="BA37" s="34"/>
      <c r="BB37" s="34"/>
      <c r="BC37" s="34"/>
      <c r="BD37" s="34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E37" s="34"/>
      <c r="CF37" s="35"/>
      <c r="CG37" s="25" t="str">
        <f>CG34</f>
        <v xml:space="preserve"> </v>
      </c>
    </row>
    <row r="38" spans="2:85" x14ac:dyDescent="0.25">
      <c r="B38" s="45" t="s">
        <v>43</v>
      </c>
      <c r="C38" s="45"/>
      <c r="D38" s="45"/>
      <c r="E38" s="45"/>
      <c r="F38" s="45"/>
      <c r="G38" s="45"/>
      <c r="H38" s="45"/>
      <c r="AR38" s="32"/>
      <c r="AS38" s="33"/>
      <c r="AT38" s="33"/>
      <c r="AU38" s="33"/>
      <c r="AV38" s="33"/>
      <c r="AW38" s="33"/>
      <c r="AX38" s="33"/>
      <c r="AY38" s="33"/>
      <c r="AZ38" s="33"/>
      <c r="BA38" s="34"/>
      <c r="BB38" s="34"/>
      <c r="BC38" s="34"/>
      <c r="BD38" s="34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E38" s="34"/>
      <c r="CF38" s="35"/>
      <c r="CG38" s="25" t="str">
        <f>CG34</f>
        <v xml:space="preserve"> </v>
      </c>
    </row>
    <row r="39" spans="2:85" x14ac:dyDescent="0.25">
      <c r="B39" s="32"/>
      <c r="C39" s="32" t="str">
        <f>C30</f>
        <v>x1</v>
      </c>
      <c r="D39" s="32" t="str">
        <f t="shared" ref="D39:H39" si="93">D30</f>
        <v>x2</v>
      </c>
      <c r="E39" s="32" t="str">
        <f t="shared" si="93"/>
        <v>x3</v>
      </c>
      <c r="F39" s="32" t="str">
        <f t="shared" si="93"/>
        <v>x4</v>
      </c>
      <c r="G39" s="32" t="str">
        <f t="shared" si="93"/>
        <v>x5</v>
      </c>
      <c r="H39" s="32" t="str">
        <f t="shared" si="93"/>
        <v>-z0</v>
      </c>
      <c r="O39" s="32"/>
      <c r="P39" s="32" t="str">
        <f>P30</f>
        <v>x1</v>
      </c>
      <c r="Q39" s="32" t="str">
        <f t="shared" ref="Q39:V39" si="94">Q30</f>
        <v>x2</v>
      </c>
      <c r="R39" s="32" t="str">
        <f t="shared" si="94"/>
        <v>x3</v>
      </c>
      <c r="S39" s="32" t="str">
        <f t="shared" si="94"/>
        <v>x4</v>
      </c>
      <c r="T39" s="32" t="str">
        <f t="shared" si="94"/>
        <v>x5</v>
      </c>
      <c r="U39" s="32" t="str">
        <f t="shared" si="94"/>
        <v>x6</v>
      </c>
      <c r="V39" s="32" t="str">
        <f t="shared" si="94"/>
        <v>-z0</v>
      </c>
      <c r="AC39" s="32"/>
      <c r="AD39" s="32" t="str">
        <f>AD30</f>
        <v>x1</v>
      </c>
      <c r="AE39" s="32" t="str">
        <f t="shared" ref="AE39:AK39" si="95">AE30</f>
        <v>x2</v>
      </c>
      <c r="AF39" s="32" t="str">
        <f t="shared" si="95"/>
        <v>x3</v>
      </c>
      <c r="AG39" s="32" t="str">
        <f t="shared" si="95"/>
        <v>x4</v>
      </c>
      <c r="AH39" s="32" t="str">
        <f t="shared" si="95"/>
        <v>x5</v>
      </c>
      <c r="AI39" s="32" t="str">
        <f t="shared" si="95"/>
        <v>x6</v>
      </c>
      <c r="AJ39" s="32" t="str">
        <f t="shared" si="95"/>
        <v>x7</v>
      </c>
      <c r="AK39" s="32" t="str">
        <f t="shared" si="95"/>
        <v>-z0</v>
      </c>
      <c r="AR39" s="32"/>
      <c r="AS39" s="33"/>
      <c r="AT39" s="33"/>
      <c r="AU39" s="33"/>
      <c r="AV39" s="33"/>
      <c r="AW39" s="33"/>
      <c r="AX39" s="33"/>
      <c r="AY39" s="33"/>
      <c r="AZ39" s="33"/>
      <c r="BA39" s="34"/>
      <c r="BB39" s="34"/>
      <c r="BC39" s="35"/>
      <c r="BD39" s="25"/>
      <c r="CE39" s="34"/>
      <c r="CF39" s="35"/>
      <c r="CG39" s="34"/>
    </row>
    <row r="40" spans="2:85" x14ac:dyDescent="0.25">
      <c r="B40" s="32" t="str">
        <f>B31</f>
        <v>-z</v>
      </c>
      <c r="C40" s="33" t="e">
        <f ca="1">IF($B40=$L31,IF(C$3=$L31,C31/C31,C31/$K37),IF(C$3=$L31,0,C31+(-1*INDEX($C31:$H31,0,MATCH($L31,$C$3:$H$3,0)))*INDEX($C32:$H34,MATCH($K36,$B32:$B34,0),MATCH(C$3,$C$3:$H$3,0))/$K37))</f>
        <v>#N/A</v>
      </c>
      <c r="D40" s="33" t="e">
        <f t="shared" ref="D40:H40" ca="1" si="96">IF($B40=$L31,IF(D$3=$L31,D31/D31,D31/$K37),IF(D$3=$L31,0,D31+(-1*INDEX($C31:$H31,0,MATCH($L31,$C$3:$H$3,0)))*INDEX($C32:$H34,MATCH($K36,$B32:$B34,0),MATCH(D$3,$C$3:$H$3,0))/$K37))</f>
        <v>#N/A</v>
      </c>
      <c r="E40" s="33" t="e">
        <f t="shared" ca="1" si="96"/>
        <v>#N/A</v>
      </c>
      <c r="F40" s="33" t="e">
        <f t="shared" ca="1" si="96"/>
        <v>#N/A</v>
      </c>
      <c r="G40" s="33" t="e">
        <f t="shared" ca="1" si="96"/>
        <v>#N/A</v>
      </c>
      <c r="H40" s="33" t="e">
        <f t="shared" ca="1" si="96"/>
        <v>#N/A</v>
      </c>
      <c r="J40" t="s">
        <v>36</v>
      </c>
      <c r="K40" t="e">
        <f t="array" aca="1" ref="K40" ca="1">IF(MIN(IF(C40:G40&gt;=0,1,-1))=1,"Não","Sim")</f>
        <v>#N/A</v>
      </c>
      <c r="L40" t="e">
        <f ca="1">IF(K40="Sim",INDEX(C39:G39,0,MATCH(MIN(C40:G40),C40:G40,0))," ")</f>
        <v>#N/A</v>
      </c>
      <c r="O40" s="32" t="str">
        <f>O31</f>
        <v>-z</v>
      </c>
      <c r="P40" s="32" t="e">
        <f ca="1">IF($O40=$Z31,IF(P$3=$Z31,P31/P31,P31/$Y37),IF(P$3=$Z31,0,P31+(-1*INDEX($P31:$V31,0,MATCH($Z31,$P$3:$V$3,0)))*INDEX($P32:$V34,MATCH($Y36,$O32:$O34,0),MATCH(P$3,$P$3:$V$3,0))/$Y37))</f>
        <v>#N/A</v>
      </c>
      <c r="Q40" s="32" t="e">
        <f t="shared" ref="Q40:V40" ca="1" si="97">IF($O40=$Z31,IF(Q$3=$Z31,Q31/Q31,Q31/$Y37),IF(Q$3=$Z31,0,Q31+(-1*INDEX($P31:$V31,0,MATCH($Z31,$P$3:$V$3,0)))*INDEX($P32:$V34,MATCH($Y36,$O32:$O34,0),MATCH(Q$3,$P$3:$V$3,0))/$Y37))</f>
        <v>#N/A</v>
      </c>
      <c r="R40" s="32" t="e">
        <f t="shared" ca="1" si="97"/>
        <v>#N/A</v>
      </c>
      <c r="S40" s="32" t="e">
        <f t="shared" ca="1" si="97"/>
        <v>#N/A</v>
      </c>
      <c r="T40" s="32" t="e">
        <f t="shared" ca="1" si="97"/>
        <v>#N/A</v>
      </c>
      <c r="U40" s="32" t="e">
        <f t="shared" ca="1" si="97"/>
        <v>#N/A</v>
      </c>
      <c r="V40" s="32" t="e">
        <f t="shared" ca="1" si="97"/>
        <v>#N/A</v>
      </c>
      <c r="X40" s="34" t="s">
        <v>36</v>
      </c>
      <c r="Y40" s="34" t="e">
        <f t="array" aca="1" ref="Y40" ca="1">IF(MIN(IF(P40:U40&gt;=0,1,-1))=1,"Não","Sim")</f>
        <v>#N/A</v>
      </c>
      <c r="Z40" s="34" t="e">
        <f ca="1">IF(Y40="Sim",INDEX(P39:U39,0,MATCH(MIN(P40:U40),P40:U40,0))," ")</f>
        <v>#N/A</v>
      </c>
      <c r="AC40" s="32" t="str">
        <f>AC31</f>
        <v>-z</v>
      </c>
      <c r="AD40" s="33" t="e">
        <f t="shared" ref="AD40:AJ40" ca="1" si="98">IF($AC40=$AO31,IF(BU$3=$AO31,AD31/AD31,AD31/$AN37),IF(BU$3=$AO31,0,AD31+(-1*INDEX($AD31:$AK31,0,MATCH($AO31,$BU$3:$CC$3,0)))*INDEX($AD32:$AK34,MATCH($AN36,$AC32:$AC34,0),MATCH(BU$3,$BU$3:$CC$3,0))/$AN37))</f>
        <v>#N/A</v>
      </c>
      <c r="AE40" s="33" t="e">
        <f t="shared" ca="1" si="98"/>
        <v>#N/A</v>
      </c>
      <c r="AF40" s="33" t="e">
        <f t="shared" ca="1" si="98"/>
        <v>#N/A</v>
      </c>
      <c r="AG40" s="33" t="e">
        <f t="shared" ca="1" si="98"/>
        <v>#N/A</v>
      </c>
      <c r="AH40" s="33" t="e">
        <f t="shared" ca="1" si="98"/>
        <v>#N/A</v>
      </c>
      <c r="AI40" s="33" t="e">
        <f t="shared" ca="1" si="98"/>
        <v>#N/A</v>
      </c>
      <c r="AJ40" s="33" t="e">
        <f t="shared" ca="1" si="98"/>
        <v>#N/A</v>
      </c>
      <c r="AK40" s="33" t="e">
        <f ca="1">IF($AC40=$AO31,IF(CC$3=$AO31,AK31/AK31,AK31/$AN37),IF(CC$3=$AO31,0,AK31+(-1*INDEX($AD31:$AK31,0,MATCH($AO31,$BU$3:$CC$3,0)))*INDEX($AD32:$AK34,MATCH($AN36,$AC32:$AC34,0),MATCH(CC$3,$BU$3:$CC$3,0))/$AN37))</f>
        <v>#N/A</v>
      </c>
      <c r="AM40" s="34" t="s">
        <v>36</v>
      </c>
      <c r="AN40" s="34" t="e">
        <f t="array" aca="1" ref="AN40" ca="1">IF(MIN(IF(AD40:AJ40&gt;=0,1,-1))=1,"Não","Sim")</f>
        <v>#N/A</v>
      </c>
      <c r="AO40" s="34" t="e">
        <f ca="1">IF(AN40="Sim",INDEX(AD39:AJ39,0,MATCH(MIN(AD40:AJ40),AD40:AJ40,0))," ")</f>
        <v>#N/A</v>
      </c>
      <c r="AR40" s="32"/>
      <c r="AS40" s="33"/>
      <c r="AT40" s="33"/>
      <c r="AU40" s="33"/>
      <c r="AV40" s="33"/>
      <c r="AW40" s="33"/>
      <c r="AX40" s="33"/>
      <c r="AY40" s="33"/>
      <c r="AZ40" s="33"/>
      <c r="BA40" s="34"/>
      <c r="BB40" s="34"/>
      <c r="BC40" s="35"/>
      <c r="BD40" s="25"/>
      <c r="CE40" s="34"/>
      <c r="CF40" s="35"/>
      <c r="CG40" s="34"/>
    </row>
    <row r="41" spans="2:85" x14ac:dyDescent="0.25">
      <c r="B41" s="32" t="e">
        <f ca="1">IF(B32=K36,L31,B32)</f>
        <v>#N/A</v>
      </c>
      <c r="C41" s="33" t="e">
        <f ca="1">IF($B41=$L32,IF(C$3=$L32,C32/C32,C32/$K37),IF(C$3=$L32,0,C32+(-1*INDEX($C32:$H32,0,MATCH($L32,$C$3:$H$3,0)))*INDEX($C32:$H34,MATCH($K36,$B32:$B34,0),MATCH(C$3,$C$3:$H$3,0))/$K37))</f>
        <v>#N/A</v>
      </c>
      <c r="D41" s="33" t="e">
        <f t="shared" ref="D41:H41" ca="1" si="99">IF($B41=$L32,IF(D$3=$L32,D32/D32,D32/$K37),IF(D$3=$L32,0,D32+(-1*INDEX($C32:$H32,0,MATCH($L32,$C$3:$H$3,0)))*INDEX($C32:$H34,MATCH($K36,$B32:$B34,0),MATCH(D$3,$C$3:$H$3,0))/$K37))</f>
        <v>#N/A</v>
      </c>
      <c r="E41" s="33" t="e">
        <f t="shared" ca="1" si="99"/>
        <v>#N/A</v>
      </c>
      <c r="F41" s="33" t="e">
        <f t="shared" ca="1" si="99"/>
        <v>#N/A</v>
      </c>
      <c r="G41" s="33" t="e">
        <f t="shared" ca="1" si="99"/>
        <v>#N/A</v>
      </c>
      <c r="H41" s="33" t="e">
        <f t="shared" ca="1" si="99"/>
        <v>#N/A</v>
      </c>
      <c r="J41" t="e">
        <f ca="1">_xlfn.CONCAT(L41," = ",IF(INT(H41)=H41,H41,TEXT(H41,"??/??"))," ÷ ",IF(INT(INDEX(C41:G41,0,MATCH(L41,C$3:G$3,0)))=INDEX(C41:G41,0,MATCH(L41,C$3:G$3,0)),INDEX(C41:G41,0,MATCH(L41,C$3:G$3,0)),TEXT(INDEX(C41:G41,0,MATCH(L41,C$3:G$3,0)),"??/??"))," = ")</f>
        <v>#N/A</v>
      </c>
      <c r="K41" s="24" t="e">
        <f ca="1">IF(H41/INDEX(C41:G41,0,MATCH(L41,C$3:G$3,0))&lt;0,"Nao zera",H41/INDEX(C41:G41,0,MATCH(L41,C$3:G$3,0)))</f>
        <v>#N/A</v>
      </c>
      <c r="L41" s="25" t="e">
        <f ca="1">L40</f>
        <v>#N/A</v>
      </c>
      <c r="O41" s="32" t="e">
        <f ca="1">IF(O32=Y36,Z31,O32)</f>
        <v>#N/A</v>
      </c>
      <c r="P41" s="32" t="e">
        <f ca="1">IF($O41=$Z31,IF(P$3=$Z31,P32/P32,P32/$Y37),IF(P$3=$Z31,0,P32+(-1*INDEX($P32:$V32,0,MATCH($Z31,$P$3:$V$3,0)))*INDEX($P32:$V34,MATCH($Y36,$O32:$O34,0),MATCH(P$3,$P$3:$V$3,0))/$Y37))</f>
        <v>#N/A</v>
      </c>
      <c r="Q41" s="32" t="e">
        <f t="shared" ref="Q41:V41" ca="1" si="100">IF($O41=$Z31,IF(Q$3=$Z31,Q32/Q32,Q32/$Y37),IF(Q$3=$Z31,0,Q32+(-1*INDEX($P32:$V32,0,MATCH($Z31,$P$3:$V$3,0)))*INDEX($P32:$V34,MATCH($Y36,$O32:$O34,0),MATCH(Q$3,$P$3:$V$3,0))/$Y37))</f>
        <v>#N/A</v>
      </c>
      <c r="R41" s="32" t="e">
        <f t="shared" ca="1" si="100"/>
        <v>#N/A</v>
      </c>
      <c r="S41" s="32" t="e">
        <f t="shared" ca="1" si="100"/>
        <v>#N/A</v>
      </c>
      <c r="T41" s="32" t="e">
        <f t="shared" ca="1" si="100"/>
        <v>#N/A</v>
      </c>
      <c r="U41" s="32" t="e">
        <f t="shared" ca="1" si="100"/>
        <v>#N/A</v>
      </c>
      <c r="V41" s="32" t="e">
        <f t="shared" ca="1" si="100"/>
        <v>#N/A</v>
      </c>
      <c r="X41" s="34" t="e">
        <f ca="1">_xlfn.CONCAT(Z41," = ",IF(INT(V41)=V41,V41,TEXT(V41,"??/??"))," ÷ ",IF(INT(INDEX(P41:U41,0,MATCH(Z41,P$3:U$3,0)))=INDEX(P41:U41,0,MATCH(Z41,P$3:U$3,0)),INDEX(P41:U41,0,MATCH(Z41,P$3:U$3,0)),TEXT(INDEX(P41:U41,0,MATCH(Z41,P$3:U$3,0)),"??/??"))," = ")</f>
        <v>#N/A</v>
      </c>
      <c r="Y41" s="35" t="e">
        <f ca="1">IF(V41/INDEX(P41:U41,0,MATCH(Z41,P$3:U$3,0))&lt;0,"Nao zera",V41/INDEX(P41:U41,0,MATCH(Z41,P$3:U$3,0)))</f>
        <v>#N/A</v>
      </c>
      <c r="Z41" s="25" t="e">
        <f ca="1">Z40</f>
        <v>#N/A</v>
      </c>
      <c r="AC41" s="32" t="e">
        <f ca="1">IF(AC32=AN36,AO31,AC32)</f>
        <v>#N/A</v>
      </c>
      <c r="AD41" s="33" t="e">
        <f t="shared" ref="AD41:AJ41" ca="1" si="101">IF($AC41=$AO31,IF(BU$3=$AO31,AD32/AD32,AD32/$AN37),IF(BU$3=$AO31,0,AD32+(-1*INDEX($AD32:$AK32,0,MATCH($AO31,$BU$3:$CC$3,0)))*INDEX($AD32:$AK34,MATCH($AN36,$AC32:$AC34,0),MATCH(BU$3,$BU$3:$CC$3,0))/$AN37))</f>
        <v>#N/A</v>
      </c>
      <c r="AE41" s="33" t="e">
        <f t="shared" ca="1" si="101"/>
        <v>#N/A</v>
      </c>
      <c r="AF41" s="33" t="e">
        <f t="shared" ca="1" si="101"/>
        <v>#N/A</v>
      </c>
      <c r="AG41" s="33" t="e">
        <f t="shared" ca="1" si="101"/>
        <v>#N/A</v>
      </c>
      <c r="AH41" s="33" t="e">
        <f t="shared" ca="1" si="101"/>
        <v>#N/A</v>
      </c>
      <c r="AI41" s="33" t="e">
        <f t="shared" ca="1" si="101"/>
        <v>#N/A</v>
      </c>
      <c r="AJ41" s="33" t="e">
        <f t="shared" ca="1" si="101"/>
        <v>#N/A</v>
      </c>
      <c r="AK41" s="33" t="e">
        <f ca="1">IF($AC41=$AO31,IF(CC$3=$AO31,AK32/AK32,AK32/$AN37),IF(CC$3=$AO31,0,AK32+(-1*INDEX($AD32:$AK32,0,MATCH($AO31,$BU$3:$CC$3,0)))*INDEX($AD32:$AK34,MATCH($AN36,$AC32:$AC34,0),MATCH(CC$3,$BU$3:$CC$3,0))/$AN37))</f>
        <v>#N/A</v>
      </c>
      <c r="AM41" s="34" t="e">
        <f ca="1">_xlfn.CONCAT(AO41," = ",IF(INT(AK41)=AK41,AK41,TEXT(AK41,"??/??"))," ÷ ",IF(INT(INDEX(AD41:AJ41,0,MATCH(AO41,BU$3:CA$3,0)))=INDEX(AD41:AJ41,0,MATCH(AO41,BU$3:CA$3,0)),INDEX(AD41:AJ41,0,MATCH(AO41,BU$3:CA$3,0)),TEXT(INDEX(AD41:AJ41,0,MATCH(AO41,BU$3:CA$3,0)),"??/??"))," = ")</f>
        <v>#N/A</v>
      </c>
      <c r="AN41" s="35" t="e">
        <f ca="1">IF(AK41/INDEX(AD41:AJ41,0,MATCH(AO41,BU$3:CA$3,0))&lt;0,"Nao zera",AK41/INDEX(AD41:AJ41,0,MATCH(AO41,BU$3:CA$3,0)))</f>
        <v>#N/A</v>
      </c>
      <c r="AO41" s="25" t="e">
        <f ca="1">AO40</f>
        <v>#N/A</v>
      </c>
      <c r="AR41" s="32"/>
      <c r="AS41" s="33"/>
      <c r="AT41" s="33"/>
      <c r="AU41" s="33"/>
      <c r="AV41" s="33"/>
      <c r="AW41" s="33"/>
      <c r="AX41" s="33"/>
      <c r="AY41" s="33"/>
      <c r="AZ41" s="33"/>
      <c r="BA41" s="34"/>
      <c r="BB41" s="34"/>
      <c r="BC41" s="35"/>
      <c r="BD41" s="25"/>
    </row>
    <row r="42" spans="2:85" x14ac:dyDescent="0.25">
      <c r="B42" s="32" t="e">
        <f ca="1">IF(B33=K36,L31,B33)</f>
        <v>#N/A</v>
      </c>
      <c r="C42" s="33" t="e">
        <f ca="1">IF($B42=$L33,IF(C$3=$L33,C33/C33,C33/$K37),IF(C$3=$L33,0,C33+(-1*INDEX($C33:$H33,0,MATCH($L33,$C$3:$H$3,0)))*INDEX($C32:$H34,MATCH($K36,$B32:$B34,0),MATCH(C$3,$C$3:$H$3,0))/$K37))</f>
        <v>#N/A</v>
      </c>
      <c r="D42" s="33" t="e">
        <f t="shared" ref="D42:H42" ca="1" si="102">IF($B42=$L33,IF(D$3=$L33,D33/D33,D33/$K37),IF(D$3=$L33,0,D33+(-1*INDEX($C33:$H33,0,MATCH($L33,$C$3:$H$3,0)))*INDEX($C32:$H34,MATCH($K36,$B32:$B34,0),MATCH(D$3,$C$3:$H$3,0))/$K37))</f>
        <v>#N/A</v>
      </c>
      <c r="E42" s="33" t="e">
        <f t="shared" ca="1" si="102"/>
        <v>#N/A</v>
      </c>
      <c r="F42" s="33" t="e">
        <f t="shared" ca="1" si="102"/>
        <v>#N/A</v>
      </c>
      <c r="G42" s="33" t="e">
        <f t="shared" ca="1" si="102"/>
        <v>#N/A</v>
      </c>
      <c r="H42" s="33" t="e">
        <f t="shared" ca="1" si="102"/>
        <v>#N/A</v>
      </c>
      <c r="J42" t="e">
        <f ca="1">_xlfn.CONCAT(L42," = ",IF(INT(H42)=H42,H42,TEXT(H42,"??/??"))," ÷ ",IF(INT(INDEX(C42:G42,0,MATCH(L42,C$3:G$3,0)))=INDEX(C42:G42,0,MATCH(L42,C$3:G$3,0)),INDEX(C42:G42,0,MATCH(L42,C$3:G$3,0)),TEXT(INDEX(C42:G42,0,MATCH(L42,C$3:G$3,0)),"??/??"))," = ")</f>
        <v>#N/A</v>
      </c>
      <c r="K42" s="24" t="e">
        <f ca="1">IF(H42/INDEX(C42:G42,0,MATCH(L42,C$3:G$3,0))&lt;0,"Nao zera",H42/INDEX(C42:G42,0,MATCH(L42,C$3:G$3,0)))</f>
        <v>#N/A</v>
      </c>
      <c r="L42" s="25" t="e">
        <f ca="1">L40</f>
        <v>#N/A</v>
      </c>
      <c r="O42" s="32" t="e">
        <f ca="1">IF(O33=Y36,Z31,O33)</f>
        <v>#N/A</v>
      </c>
      <c r="P42" s="32" t="e">
        <f ca="1">IF($O42=$Z31,IF(P$3=$Z31,P33/P33,P33/$Y37),IF(P$3=$Z31,0,P33+(-1*INDEX($P33:$V33,0,MATCH($Z31,$P$3:$V$3,0)))*INDEX($P32:$V34,MATCH($Y36,$O32:$O34,0),MATCH(P$3,$P$3:$V$3,0))/$Y37))</f>
        <v>#N/A</v>
      </c>
      <c r="Q42" s="32" t="e">
        <f t="shared" ref="Q42:V42" ca="1" si="103">IF($O42=$Z31,IF(Q$3=$Z31,Q33/Q33,Q33/$Y37),IF(Q$3=$Z31,0,Q33+(-1*INDEX($P33:$V33,0,MATCH($Z31,$P$3:$V$3,0)))*INDEX($P32:$V34,MATCH($Y36,$O32:$O34,0),MATCH(Q$3,$P$3:$V$3,0))/$Y37))</f>
        <v>#N/A</v>
      </c>
      <c r="R42" s="32" t="e">
        <f t="shared" ca="1" si="103"/>
        <v>#N/A</v>
      </c>
      <c r="S42" s="32" t="e">
        <f t="shared" ca="1" si="103"/>
        <v>#N/A</v>
      </c>
      <c r="T42" s="32" t="e">
        <f t="shared" ca="1" si="103"/>
        <v>#N/A</v>
      </c>
      <c r="U42" s="32" t="e">
        <f t="shared" ca="1" si="103"/>
        <v>#N/A</v>
      </c>
      <c r="V42" s="32" t="e">
        <f t="shared" ca="1" si="103"/>
        <v>#N/A</v>
      </c>
      <c r="X42" s="34" t="e">
        <f t="shared" ref="X42:X43" ca="1" si="104">_xlfn.CONCAT(Z42," = ",IF(INT(V42)=V42,V42,TEXT(V42,"??/??"))," ÷ ",IF(INT(INDEX(P42:U42,0,MATCH(Z42,P$3:U$3,0)))=INDEX(P42:U42,0,MATCH(Z42,P$3:U$3,0)),INDEX(P42:U42,0,MATCH(Z42,P$3:U$3,0)),TEXT(INDEX(P42:U42,0,MATCH(Z42,P$3:U$3,0)),"??/??"))," = ")</f>
        <v>#N/A</v>
      </c>
      <c r="Y42" s="35" t="e">
        <f t="shared" ref="Y42:Y43" ca="1" si="105">IF(V42/INDEX(P42:U42,0,MATCH(Z42,P$3:U$3,0))&lt;0,"Nao zera",V42/INDEX(P42:U42,0,MATCH(Z42,P$3:U$3,0)))</f>
        <v>#N/A</v>
      </c>
      <c r="Z42" s="25" t="e">
        <f ca="1">Z40</f>
        <v>#N/A</v>
      </c>
      <c r="AC42" s="32" t="e">
        <f ca="1">IF(AC33=AN36,AO31,AC33)</f>
        <v>#N/A</v>
      </c>
      <c r="AD42" s="33" t="e">
        <f t="shared" ref="AD42:AJ42" ca="1" si="106">IF($AC42=$AO31,IF(BU$3=$AO31,AD33/AD33,AD33/$AN37),IF(BU$3=$AO31,0,AD33+(-1*INDEX($AD33:$AK33,0,MATCH($AO31,$BU$3:$CC$3,0)))*INDEX($AD32:$AK34,MATCH($AN36,$AC32:$AC34,0),MATCH(BU$3,$BU$3:$CC$3,0))/$AN37))</f>
        <v>#N/A</v>
      </c>
      <c r="AE42" s="33" t="e">
        <f t="shared" ca="1" si="106"/>
        <v>#N/A</v>
      </c>
      <c r="AF42" s="33" t="e">
        <f t="shared" ca="1" si="106"/>
        <v>#N/A</v>
      </c>
      <c r="AG42" s="33" t="e">
        <f t="shared" ca="1" si="106"/>
        <v>#N/A</v>
      </c>
      <c r="AH42" s="33" t="e">
        <f t="shared" ca="1" si="106"/>
        <v>#N/A</v>
      </c>
      <c r="AI42" s="33" t="e">
        <f t="shared" ca="1" si="106"/>
        <v>#N/A</v>
      </c>
      <c r="AJ42" s="33" t="e">
        <f t="shared" ca="1" si="106"/>
        <v>#N/A</v>
      </c>
      <c r="AK42" s="33" t="e">
        <f ca="1">IF($AC42=$AO31,IF(CC$3=$AO31,AK33/AK33,AK33/$AN37),IF(CC$3=$AO31,0,AK33+(-1*INDEX($AD33:$AK33,0,MATCH($AO31,$BU$3:$CC$3,0)))*INDEX($AD32:$AK34,MATCH($AN36,$AC32:$AC34,0),MATCH(CC$3,$BU$3:$CC$3,0))/$AN37))</f>
        <v>#N/A</v>
      </c>
      <c r="AM42" s="34" t="e">
        <f ca="1">_xlfn.CONCAT(AO42," = ",IF(INT(AK42)=AK42,AK42,TEXT(AK42,"??/??"))," ÷ ",IF(INT(INDEX(AD42:AJ42,0,MATCH(AO42,BU$3:CA$3,0)))=INDEX(AD42:AJ42,0,MATCH(AO42,BU$3:CA$3,0)),INDEX(AD42:AJ42,0,MATCH(AO42,BU$3:CA$3,0)),TEXT(INDEX(AD42:AJ42,0,MATCH(AO42,BU$3:CA$3,0)),"??/??"))," = ")</f>
        <v>#N/A</v>
      </c>
      <c r="AN42" s="35" t="e">
        <f ca="1">IF(AK42/INDEX(AD42:AJ42,0,MATCH(AO42,BU$3:CA$3,0))&lt;0,"Nao zera",AK42/INDEX(AD42:AJ42,0,MATCH(AO42,BU$3:CA$3,0)))</f>
        <v>#N/A</v>
      </c>
      <c r="AO42" s="25" t="e">
        <f ca="1">AO40</f>
        <v>#N/A</v>
      </c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25"/>
    </row>
    <row r="43" spans="2:85" x14ac:dyDescent="0.25">
      <c r="B43" s="32" t="e">
        <f ca="1">IF(B34=K36,L31,B34)</f>
        <v>#N/A</v>
      </c>
      <c r="C43" s="33" t="e">
        <f ca="1">IF($B43=$L34,IF(C$3=$L34,C34/C34,C34/$K37),IF(C$3=$L34,0,C34+(-1*INDEX($C34:$H34,0,MATCH($L34,$C$3:$H$3,0)))*INDEX($C32:$H34,MATCH($K36,$B32:$B34,0),MATCH(C$3,$C$3:$H$3,0))/$K37))</f>
        <v>#N/A</v>
      </c>
      <c r="D43" s="33" t="e">
        <f t="shared" ref="D43:H43" ca="1" si="107">IF($B43=$L34,IF(D$3=$L34,D34/D34,D34/$K37),IF(D$3=$L34,0,D34+(-1*INDEX($C34:$H34,0,MATCH($L34,$C$3:$H$3,0)))*INDEX($C32:$H34,MATCH($K36,$B32:$B34,0),MATCH(D$3,$C$3:$H$3,0))/$K37))</f>
        <v>#N/A</v>
      </c>
      <c r="E43" s="33" t="e">
        <f t="shared" ca="1" si="107"/>
        <v>#N/A</v>
      </c>
      <c r="F43" s="33" t="e">
        <f t="shared" ca="1" si="107"/>
        <v>#N/A</v>
      </c>
      <c r="G43" s="33" t="e">
        <f t="shared" ca="1" si="107"/>
        <v>#N/A</v>
      </c>
      <c r="H43" s="33" t="e">
        <f t="shared" ca="1" si="107"/>
        <v>#N/A</v>
      </c>
      <c r="J43" t="e">
        <f ca="1">_xlfn.CONCAT(L43," = ",IF(INT(H43)=H43,H43,TEXT(H43,"??/??"))," ÷ ",IF(INT(INDEX(C43:G43,0,MATCH(L43,C$3:G$3,0)))=INDEX(C43:G43,0,MATCH(L43,C$3:G$3,0)),INDEX(C43:G43,0,MATCH(L43,C$3:G$3,0)),TEXT(INDEX(C43:G43,0,MATCH(L43,C$3:G$3,0)),"??/??"))," = ")</f>
        <v>#N/A</v>
      </c>
      <c r="K43" s="24" t="e">
        <f ca="1">IF(H43/INDEX(C43:G43,0,MATCH(L43,C$3:G$3,0))&lt;0,"Nao zera",H43/INDEX(C43:G43,0,MATCH(L43,C$3:G$3,0)))</f>
        <v>#N/A</v>
      </c>
      <c r="L43" s="25" t="e">
        <f ca="1">L40</f>
        <v>#N/A</v>
      </c>
      <c r="O43" s="32" t="e">
        <f ca="1">IF(O34=Y36,Z31,O34)</f>
        <v>#N/A</v>
      </c>
      <c r="P43" s="32" t="e">
        <f ca="1">IF($O43=$Z31,IF(P$3=$Z31,P34/P34,P34/$Y37),IF(P$3=$Z31,0,P34+(-1*INDEX($P34:$V34,0,MATCH($Z31,$P$3:$V$3,0)))*INDEX($P32:$V34,MATCH($Y36,$O32:$O34,0),MATCH(P$3,$P$3:$V$3,0))/$Y37))</f>
        <v>#N/A</v>
      </c>
      <c r="Q43" s="32" t="e">
        <f t="shared" ref="Q43:V43" ca="1" si="108">IF($O43=$Z31,IF(Q$3=$Z31,Q34/Q34,Q34/$Y37),IF(Q$3=$Z31,0,Q34+(-1*INDEX($P34:$V34,0,MATCH($Z31,$P$3:$V$3,0)))*INDEX($P32:$V34,MATCH($Y36,$O32:$O34,0),MATCH(Q$3,$P$3:$V$3,0))/$Y37))</f>
        <v>#N/A</v>
      </c>
      <c r="R43" s="32" t="e">
        <f t="shared" ca="1" si="108"/>
        <v>#N/A</v>
      </c>
      <c r="S43" s="32" t="e">
        <f t="shared" ca="1" si="108"/>
        <v>#N/A</v>
      </c>
      <c r="T43" s="32" t="e">
        <f t="shared" ca="1" si="108"/>
        <v>#N/A</v>
      </c>
      <c r="U43" s="32" t="e">
        <f t="shared" ca="1" si="108"/>
        <v>#N/A</v>
      </c>
      <c r="V43" s="32" t="e">
        <f t="shared" ca="1" si="108"/>
        <v>#N/A</v>
      </c>
      <c r="X43" s="34" t="e">
        <f t="shared" ca="1" si="104"/>
        <v>#N/A</v>
      </c>
      <c r="Y43" s="35" t="e">
        <f t="shared" ca="1" si="105"/>
        <v>#N/A</v>
      </c>
      <c r="Z43" s="25" t="e">
        <f ca="1">Z40</f>
        <v>#N/A</v>
      </c>
      <c r="AC43" s="32" t="e">
        <f ca="1">IF(AC34=AN36,AO31,AC34)</f>
        <v>#N/A</v>
      </c>
      <c r="AD43" s="33" t="e">
        <f t="shared" ref="AD43:AJ43" ca="1" si="109">IF($AC43=$AO31,IF(BU$3=$AO31,AD34/AD34,AD34/$AN37),IF(BU$3=$AO31,0,AD34+(-1*INDEX($AD34:$AK34,0,MATCH($AO31,$BU$3:$CC$3,0)))*INDEX($AD32:$AK34,MATCH($AN36,$AC32:$AC34,0),MATCH(BU$3,$BU$3:$CC$3,0))/$AN37))</f>
        <v>#N/A</v>
      </c>
      <c r="AE43" s="33" t="e">
        <f t="shared" ca="1" si="109"/>
        <v>#N/A</v>
      </c>
      <c r="AF43" s="33" t="e">
        <f t="shared" ca="1" si="109"/>
        <v>#N/A</v>
      </c>
      <c r="AG43" s="33" t="e">
        <f t="shared" ca="1" si="109"/>
        <v>#N/A</v>
      </c>
      <c r="AH43" s="33" t="e">
        <f t="shared" ca="1" si="109"/>
        <v>#N/A</v>
      </c>
      <c r="AI43" s="33" t="e">
        <f t="shared" ca="1" si="109"/>
        <v>#N/A</v>
      </c>
      <c r="AJ43" s="33" t="e">
        <f t="shared" ca="1" si="109"/>
        <v>#N/A</v>
      </c>
      <c r="AK43" s="33" t="e">
        <f ca="1">IF($AC43=$AO31,IF(CC$3=$AO31,AK34/AK34,AK34/$AN37),IF(CC$3=$AO31,0,AK34+(-1*INDEX($AD34:$AK34,0,MATCH($AO31,$BU$3:$CC$3,0)))*INDEX($AD32:$AK34,MATCH($AN36,$AC32:$AC34,0),MATCH(CC$3,$BU$3:$CC$3,0))/$AN37))</f>
        <v>#N/A</v>
      </c>
      <c r="AM43" s="34" t="e">
        <f ca="1">_xlfn.CONCAT(AO43," = ",IF(INT(AK43)=AK43,AK43,TEXT(AK43,"??/??"))," ÷ ",IF(INT(INDEX(AD43:AJ43,0,MATCH(AO43,BU$3:CA$3,0)))=INDEX(AD43:AJ43,0,MATCH(AO43,BU$3:CA$3,0)),INDEX(AD43:AJ43,0,MATCH(AO43,BU$3:CA$3,0)),TEXT(INDEX(AD43:AJ43,0,MATCH(AO43,BU$3:CA$3,0)),"??/??"))," = ")</f>
        <v>#N/A</v>
      </c>
      <c r="AN43" s="35" t="e">
        <f ca="1">IF(AK43/INDEX(AD43:AJ43,0,MATCH(AO43,BU$3:CA$3,0))&lt;0,"Nao zera",AK43/INDEX(AD43:AJ43,0,MATCH(AO43,BU$3:CA$3,0)))</f>
        <v>#N/A</v>
      </c>
      <c r="AO43" s="25" t="e">
        <f ca="1">AO40</f>
        <v>#N/A</v>
      </c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5"/>
      <c r="BD43" s="34"/>
      <c r="BT43" s="32"/>
      <c r="BU43" s="32"/>
      <c r="BV43" s="32"/>
      <c r="BW43" s="32"/>
      <c r="BX43" s="32"/>
      <c r="BY43" s="32"/>
      <c r="BZ43" s="32"/>
      <c r="CA43" s="32"/>
      <c r="CB43" s="32"/>
      <c r="CC43" s="32"/>
    </row>
    <row r="44" spans="2:85" x14ac:dyDescent="0.25">
      <c r="L44" s="25"/>
      <c r="X44" s="34"/>
      <c r="Y44" s="34"/>
      <c r="Z44" s="25"/>
      <c r="AM44" s="34"/>
      <c r="AN44" s="34"/>
      <c r="AO44" s="25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5"/>
      <c r="BD44" s="34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E44" s="34"/>
      <c r="CF44" s="34"/>
      <c r="CG44" s="34" t="str">
        <f>IF(CF44="Sim",INDEX(BU43:CB43,0,MATCH(MIN(BU44:CB44),BU44:CB44,0))," ")</f>
        <v xml:space="preserve"> </v>
      </c>
    </row>
    <row r="45" spans="2:85" x14ac:dyDescent="0.25">
      <c r="J45" t="s">
        <v>37</v>
      </c>
      <c r="K45" t="e">
        <f ca="1">OFFSET(B41,MATCH(MIN(K41:K43),K41:K43,0)-1,0)</f>
        <v>#N/A</v>
      </c>
      <c r="X45" s="34" t="s">
        <v>37</v>
      </c>
      <c r="Y45" s="35" t="e">
        <f ca="1">OFFSET(O41,MATCH(MIN(Y41:Y43),Y41:Y43,0)-1,0)</f>
        <v>#N/A</v>
      </c>
      <c r="Z45" s="34"/>
      <c r="AM45" s="34" t="s">
        <v>37</v>
      </c>
      <c r="AN45" s="35" t="e">
        <f ca="1">OFFSET(AC41,MATCH(MIN(AN41:AN43),AN41:AN43,0)-1,0)</f>
        <v>#N/A</v>
      </c>
      <c r="AO45" s="34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E45" s="34"/>
      <c r="CF45" s="35"/>
      <c r="CG45" s="25" t="str">
        <f>CG44</f>
        <v xml:space="preserve"> </v>
      </c>
    </row>
    <row r="46" spans="2:85" x14ac:dyDescent="0.25">
      <c r="J46" t="s">
        <v>38</v>
      </c>
      <c r="K46" s="24" t="e">
        <f ca="1">INDEX(C41:G43,MATCH(K45,B41:B43,0),MATCH(L40,C$3:G$3,0))</f>
        <v>#N/A</v>
      </c>
      <c r="X46" s="34" t="s">
        <v>38</v>
      </c>
      <c r="Y46" s="35" t="e">
        <f ca="1">INDEX(P41:U43,MATCH(Y45,O41:O43,0),MATCH(Z40,P$3:U$3,0))</f>
        <v>#N/A</v>
      </c>
      <c r="Z46" s="34"/>
      <c r="AM46" s="34" t="s">
        <v>38</v>
      </c>
      <c r="AN46" s="35" t="e">
        <f ca="1">INDEX(AD41:AJ43,MATCH(AN45,AC41:AC43,0),MATCH(AO40,BU$3:CA$3,0))</f>
        <v>#N/A</v>
      </c>
      <c r="AO46" s="34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E46" s="34"/>
      <c r="CF46" s="35"/>
      <c r="CG46" s="25" t="str">
        <f>CG44</f>
        <v xml:space="preserve"> </v>
      </c>
    </row>
    <row r="47" spans="2:85" x14ac:dyDescent="0.25">
      <c r="B47" s="45" t="s">
        <v>44</v>
      </c>
      <c r="C47" s="45"/>
      <c r="D47" s="45"/>
      <c r="E47" s="45"/>
      <c r="F47" s="45"/>
      <c r="G47" s="45"/>
      <c r="H47" s="45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E47" s="34"/>
      <c r="CF47" s="35"/>
      <c r="CG47" s="25" t="str">
        <f>CG44</f>
        <v xml:space="preserve"> </v>
      </c>
    </row>
    <row r="48" spans="2:85" x14ac:dyDescent="0.25">
      <c r="B48" s="32"/>
      <c r="C48" s="32" t="str">
        <f>C39</f>
        <v>x1</v>
      </c>
      <c r="D48" s="32" t="str">
        <f t="shared" ref="D48:H48" si="110">D39</f>
        <v>x2</v>
      </c>
      <c r="E48" s="32" t="str">
        <f t="shared" si="110"/>
        <v>x3</v>
      </c>
      <c r="F48" s="32" t="str">
        <f t="shared" si="110"/>
        <v>x4</v>
      </c>
      <c r="G48" s="32" t="str">
        <f t="shared" si="110"/>
        <v>x5</v>
      </c>
      <c r="H48" s="32" t="str">
        <f t="shared" si="110"/>
        <v>-z0</v>
      </c>
      <c r="O48" s="32"/>
      <c r="P48" s="32" t="str">
        <f>P39</f>
        <v>x1</v>
      </c>
      <c r="Q48" s="32" t="str">
        <f t="shared" ref="Q48:V48" si="111">Q39</f>
        <v>x2</v>
      </c>
      <c r="R48" s="32" t="str">
        <f t="shared" si="111"/>
        <v>x3</v>
      </c>
      <c r="S48" s="32" t="str">
        <f t="shared" si="111"/>
        <v>x4</v>
      </c>
      <c r="T48" s="32" t="str">
        <f t="shared" si="111"/>
        <v>x5</v>
      </c>
      <c r="U48" s="32" t="str">
        <f t="shared" si="111"/>
        <v>x6</v>
      </c>
      <c r="V48" s="32" t="str">
        <f t="shared" si="111"/>
        <v>-z0</v>
      </c>
      <c r="AC48" s="32"/>
      <c r="AD48" s="32" t="str">
        <f>AD39</f>
        <v>x1</v>
      </c>
      <c r="AE48" s="32" t="str">
        <f t="shared" ref="AE48:AK48" si="112">AE39</f>
        <v>x2</v>
      </c>
      <c r="AF48" s="32" t="str">
        <f t="shared" si="112"/>
        <v>x3</v>
      </c>
      <c r="AG48" s="32" t="str">
        <f t="shared" si="112"/>
        <v>x4</v>
      </c>
      <c r="AH48" s="32" t="str">
        <f t="shared" si="112"/>
        <v>x5</v>
      </c>
      <c r="AI48" s="32" t="str">
        <f t="shared" si="112"/>
        <v>x6</v>
      </c>
      <c r="AJ48" s="32" t="str">
        <f t="shared" si="112"/>
        <v>x7</v>
      </c>
      <c r="AK48" s="32" t="str">
        <f t="shared" si="112"/>
        <v>-z0</v>
      </c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E48" s="34"/>
      <c r="CF48" s="35"/>
      <c r="CG48" s="25" t="str">
        <f>CG44</f>
        <v xml:space="preserve"> </v>
      </c>
    </row>
    <row r="49" spans="2:85" x14ac:dyDescent="0.25">
      <c r="B49" s="32" t="str">
        <f>B40</f>
        <v>-z</v>
      </c>
      <c r="C49" s="33" t="e">
        <f ca="1">IF($B49=$L40,IF(C$3=$L40,C40/C40,C40/$K46),IF(C$3=$L40,0,C40+(-1*INDEX($C40:$H40,0,MATCH($L40,$C$3:$H$3,0)))*INDEX($C41:$H43,MATCH($K45,$B41:$B43,0),MATCH(C$3,$C$3:$H$3,0))/$K46))</f>
        <v>#N/A</v>
      </c>
      <c r="D49" s="33" t="e">
        <f t="shared" ref="D49:H49" ca="1" si="113">IF($B49=$L40,IF(D$3=$L40,D40/D40,D40/$K46),IF(D$3=$L40,0,D40+(-1*INDEX($C40:$H40,0,MATCH($L40,$C$3:$H$3,0)))*INDEX($C41:$H43,MATCH($K45,$B41:$B43,0),MATCH(D$3,$C$3:$H$3,0))/$K46))</f>
        <v>#N/A</v>
      </c>
      <c r="E49" s="33" t="e">
        <f t="shared" ca="1" si="113"/>
        <v>#N/A</v>
      </c>
      <c r="F49" s="33" t="e">
        <f t="shared" ca="1" si="113"/>
        <v>#N/A</v>
      </c>
      <c r="G49" s="33" t="e">
        <f t="shared" ca="1" si="113"/>
        <v>#N/A</v>
      </c>
      <c r="H49" s="33" t="e">
        <f t="shared" ca="1" si="113"/>
        <v>#N/A</v>
      </c>
      <c r="J49" t="s">
        <v>36</v>
      </c>
      <c r="K49" t="e">
        <f t="array" aca="1" ref="K49" ca="1">IF(MIN(IF(C49:G49&gt;=0,1,-1))=1,"Não","Sim")</f>
        <v>#N/A</v>
      </c>
      <c r="L49" t="e">
        <f ca="1">IF(K49="Sim",INDEX(C48:G48,0,MATCH(MIN(C49:G49),C49:G49,0))," ")</f>
        <v>#N/A</v>
      </c>
      <c r="O49" s="32" t="str">
        <f>O40</f>
        <v>-z</v>
      </c>
      <c r="P49" s="32" t="e">
        <f ca="1">IF($O49=$Z40,IF(P$3=$Z40,P40/P40,P40/$Y46),IF(P$3=$Z40,0,P40+(-1*INDEX($P40:$V40,0,MATCH($Z40,$P$3:$V$3,0)))*INDEX($P41:$V43,MATCH($Y45,$O41:$O43,0),MATCH(P$3,$P$3:$V$3,0))/$Y46))</f>
        <v>#N/A</v>
      </c>
      <c r="Q49" s="32" t="e">
        <f t="shared" ref="Q49:V49" ca="1" si="114">IF($O49=$Z40,IF(Q$3=$Z40,Q40/Q40,Q40/$Y46),IF(Q$3=$Z40,0,Q40+(-1*INDEX($P40:$V40,0,MATCH($Z40,$P$3:$V$3,0)))*INDEX($P41:$V43,MATCH($Y45,$O41:$O43,0),MATCH(Q$3,$P$3:$V$3,0))/$Y46))</f>
        <v>#N/A</v>
      </c>
      <c r="R49" s="32" t="e">
        <f t="shared" ca="1" si="114"/>
        <v>#N/A</v>
      </c>
      <c r="S49" s="32" t="e">
        <f t="shared" ca="1" si="114"/>
        <v>#N/A</v>
      </c>
      <c r="T49" s="32" t="e">
        <f t="shared" ca="1" si="114"/>
        <v>#N/A</v>
      </c>
      <c r="U49" s="32" t="e">
        <f t="shared" ca="1" si="114"/>
        <v>#N/A</v>
      </c>
      <c r="V49" s="32" t="e">
        <f t="shared" ca="1" si="114"/>
        <v>#N/A</v>
      </c>
      <c r="X49" s="34" t="s">
        <v>36</v>
      </c>
      <c r="Y49" s="34" t="e">
        <f t="array" aca="1" ref="Y49" ca="1">IF(MIN(IF(P49:U49&gt;=0,1,-1))=1,"Não","Sim")</f>
        <v>#N/A</v>
      </c>
      <c r="Z49" s="34" t="e">
        <f ca="1">IF(Y49="Sim",INDEX(P48:U48,0,MATCH(MIN(P49:U49),P49:U49,0))," ")</f>
        <v>#N/A</v>
      </c>
      <c r="AC49" s="32" t="str">
        <f>AC40</f>
        <v>-z</v>
      </c>
      <c r="AD49" s="33" t="e">
        <f t="shared" ref="AD49:AJ49" ca="1" si="115">IF($AC49=$AO40,IF(BU$3=$AO40,AD40/AD40,AD40/$AN46),IF(BU$3=$AO40,0,AD40+(-1*INDEX($AD40:$AK40,0,MATCH($AO40,$BU$3:$CC$3,0)))*INDEX($AD41:$AK43,MATCH($AN45,$AC41:$AC43,0),MATCH(BU$3,$BU$3:$CC$3,0))/$AN46))</f>
        <v>#N/A</v>
      </c>
      <c r="AE49" s="33" t="e">
        <f t="shared" ca="1" si="115"/>
        <v>#N/A</v>
      </c>
      <c r="AF49" s="33" t="e">
        <f t="shared" ca="1" si="115"/>
        <v>#N/A</v>
      </c>
      <c r="AG49" s="33" t="e">
        <f t="shared" ca="1" si="115"/>
        <v>#N/A</v>
      </c>
      <c r="AH49" s="33" t="e">
        <f t="shared" ca="1" si="115"/>
        <v>#N/A</v>
      </c>
      <c r="AI49" s="33" t="e">
        <f t="shared" ca="1" si="115"/>
        <v>#N/A</v>
      </c>
      <c r="AJ49" s="33" t="e">
        <f t="shared" ca="1" si="115"/>
        <v>#N/A</v>
      </c>
      <c r="AK49" s="33" t="e">
        <f ca="1">IF($AC49=$AO40,IF(CC$3=$AO40,AK40/AK40,AK40/$AN46),IF(CC$3=$AO40,0,AK40+(-1*INDEX($AD40:$AK40,0,MATCH($AO40,$BU$3:$CC$3,0)))*INDEX($AD41:$AK43,MATCH($AN45,$AC41:$AC43,0),MATCH(CC$3,$BU$3:$CC$3,0))/$AN46))</f>
        <v>#N/A</v>
      </c>
      <c r="AM49" s="34" t="s">
        <v>36</v>
      </c>
      <c r="AN49" s="34" t="e">
        <f t="array" aca="1" ref="AN49" ca="1">IF(MIN(IF(AD49:AJ49&gt;=0,1,-1))=1,"Não","Sim")</f>
        <v>#N/A</v>
      </c>
      <c r="AO49" s="34" t="e">
        <f ca="1">IF(AN49="Sim",INDEX(AD48:AJ48,0,MATCH(MIN(AD49:AJ49),AD49:AJ49,0))," ")</f>
        <v>#N/A</v>
      </c>
      <c r="CE49" s="34"/>
      <c r="CF49" s="35"/>
      <c r="CG49" s="34"/>
    </row>
    <row r="50" spans="2:85" x14ac:dyDescent="0.25">
      <c r="B50" s="32" t="e">
        <f ca="1">IF(B41=K45,L40,B41)</f>
        <v>#N/A</v>
      </c>
      <c r="C50" s="33" t="e">
        <f ca="1">IF($B50=$L41,IF(C$3=$L41,C41/C41,C41/$K46),IF(C$3=$L41,0,C41+(-1*INDEX($C41:$H41,0,MATCH($L41,$C$3:$H$3,0)))*INDEX($C41:$H43,MATCH($K45,$B41:$B43,0),MATCH(C$3,$C$3:$H$3,0))/$K46))</f>
        <v>#N/A</v>
      </c>
      <c r="D50" s="33" t="e">
        <f t="shared" ref="D50:H50" ca="1" si="116">IF($B50=$L41,IF(D$3=$L41,D41/D41,D41/$K46),IF(D$3=$L41,0,D41+(-1*INDEX($C41:$H41,0,MATCH($L41,$C$3:$H$3,0)))*INDEX($C41:$H43,MATCH($K45,$B41:$B43,0),MATCH(D$3,$C$3:$H$3,0))/$K46))</f>
        <v>#N/A</v>
      </c>
      <c r="E50" s="33" t="e">
        <f t="shared" ca="1" si="116"/>
        <v>#N/A</v>
      </c>
      <c r="F50" s="33" t="e">
        <f t="shared" ca="1" si="116"/>
        <v>#N/A</v>
      </c>
      <c r="G50" s="33" t="e">
        <f t="shared" ca="1" si="116"/>
        <v>#N/A</v>
      </c>
      <c r="H50" s="33" t="e">
        <f t="shared" ca="1" si="116"/>
        <v>#N/A</v>
      </c>
      <c r="J50" t="e">
        <f ca="1">_xlfn.CONCAT(L50," = ",IF(INT(H50)=H50,H50,TEXT(H50,"??/??"))," ÷ ",IF(INT(INDEX(C50:G50,0,MATCH(L50,C$3:G$3,0)))=INDEX(C50:G50,0,MATCH(L50,C$3:G$3,0)),INDEX(C50:G50,0,MATCH(L50,C$3:G$3,0)),TEXT(INDEX(C50:G50,0,MATCH(L50,C$3:G$3,0)),"??/??"))," = ")</f>
        <v>#N/A</v>
      </c>
      <c r="K50" s="24" t="e">
        <f ca="1">IF(H50/INDEX(C50:G50,0,MATCH(L50,C$3:G$3,0))&lt;0,"Nao zera",H50/INDEX(C50:G50,0,MATCH(L50,C$3:G$3,0)))</f>
        <v>#N/A</v>
      </c>
      <c r="L50" s="25" t="e">
        <f ca="1">L49</f>
        <v>#N/A</v>
      </c>
      <c r="O50" s="32" t="e">
        <f ca="1">IF(O41=Y45,Z40,O41)</f>
        <v>#N/A</v>
      </c>
      <c r="P50" s="32" t="e">
        <f ca="1">IF($O50=$Z40,IF(P$3=$Z40,P41/P41,P41/$Y46),IF(P$3=$Z40,0,P41+(-1*INDEX($P41:$V41,0,MATCH($Z40,$P$3:$V$3,0)))*INDEX($P41:$V43,MATCH($Y45,$O41:$O43,0),MATCH(P$3,$P$3:$V$3,0))/$Y46))</f>
        <v>#N/A</v>
      </c>
      <c r="Q50" s="32" t="e">
        <f t="shared" ref="Q50:V50" ca="1" si="117">IF($O50=$Z40,IF(Q$3=$Z40,Q41/Q41,Q41/$Y46),IF(Q$3=$Z40,0,Q41+(-1*INDEX($P41:$V41,0,MATCH($Z40,$P$3:$V$3,0)))*INDEX($P41:$V43,MATCH($Y45,$O41:$O43,0),MATCH(Q$3,$P$3:$V$3,0))/$Y46))</f>
        <v>#N/A</v>
      </c>
      <c r="R50" s="32" t="e">
        <f t="shared" ca="1" si="117"/>
        <v>#N/A</v>
      </c>
      <c r="S50" s="32" t="e">
        <f t="shared" ca="1" si="117"/>
        <v>#N/A</v>
      </c>
      <c r="T50" s="32" t="e">
        <f t="shared" ca="1" si="117"/>
        <v>#N/A</v>
      </c>
      <c r="U50" s="32" t="e">
        <f t="shared" ca="1" si="117"/>
        <v>#N/A</v>
      </c>
      <c r="V50" s="32" t="e">
        <f t="shared" ca="1" si="117"/>
        <v>#N/A</v>
      </c>
      <c r="X50" s="34" t="e">
        <f ca="1">_xlfn.CONCAT(Z50," = ",IF(INT(V50)=V50,V50,TEXT(V50,"??/??"))," ÷ ",IF(INT(INDEX(P50:U50,0,MATCH(Z50,P$3:U$3,0)))=INDEX(P50:U50,0,MATCH(Z50,P$3:U$3,0)),INDEX(P50:U50,0,MATCH(Z50,P$3:U$3,0)),TEXT(INDEX(P50:U50,0,MATCH(Z50,P$3:U$3,0)),"??/??"))," = ")</f>
        <v>#N/A</v>
      </c>
      <c r="Y50" s="35" t="e">
        <f ca="1">IF(V50/INDEX(P50:U50,0,MATCH(Z50,P$3:U$3,0))&lt;0,"Nao zera",V50/INDEX(P50:U50,0,MATCH(Z50,P$3:U$3,0)))</f>
        <v>#N/A</v>
      </c>
      <c r="Z50" s="25" t="e">
        <f ca="1">Z49</f>
        <v>#N/A</v>
      </c>
      <c r="AC50" s="32" t="e">
        <f ca="1">IF(AC41=AN45,AO40,AC41)</f>
        <v>#N/A</v>
      </c>
      <c r="AD50" s="33" t="e">
        <f t="shared" ref="AD50:AJ50" ca="1" si="118">IF($AC50=$AO40,IF(BU$3=$AO40,AD41/AD41,AD41/$AN46),IF(BU$3=$AO40,0,AD41+(-1*INDEX($AD41:$AK41,0,MATCH($AO40,$BU$3:$CC$3,0)))*INDEX($AD41:$AK43,MATCH($AN45,$AC41:$AC43,0),MATCH(BU$3,$BU$3:$CC$3,0))/$AN46))</f>
        <v>#N/A</v>
      </c>
      <c r="AE50" s="33" t="e">
        <f t="shared" ca="1" si="118"/>
        <v>#N/A</v>
      </c>
      <c r="AF50" s="33" t="e">
        <f t="shared" ca="1" si="118"/>
        <v>#N/A</v>
      </c>
      <c r="AG50" s="33" t="e">
        <f t="shared" ca="1" si="118"/>
        <v>#N/A</v>
      </c>
      <c r="AH50" s="33" t="e">
        <f t="shared" ca="1" si="118"/>
        <v>#N/A</v>
      </c>
      <c r="AI50" s="33" t="e">
        <f t="shared" ca="1" si="118"/>
        <v>#N/A</v>
      </c>
      <c r="AJ50" s="33" t="e">
        <f t="shared" ca="1" si="118"/>
        <v>#N/A</v>
      </c>
      <c r="AK50" s="33" t="e">
        <f ca="1">IF($AC50=$AO40,IF(CC$3=$AO40,AK41/AK41,AK41/$AN46),IF(CC$3=$AO40,0,AK41+(-1*INDEX($AD41:$AK41,0,MATCH($AO40,$BU$3:$CC$3,0)))*INDEX($AD41:$AK43,MATCH($AN45,$AC41:$AC43,0),MATCH(CC$3,$BU$3:$CC$3,0))/$AN46))</f>
        <v>#N/A</v>
      </c>
      <c r="AM50" s="34" t="e">
        <f ca="1">_xlfn.CONCAT(AO50," = ",IF(INT(AK50)=AK50,AK50,TEXT(AK50,"??/??"))," ÷ ",IF(INT(INDEX(AD50:AJ50,0,MATCH(AO50,BU$3:CA$3,0)))=INDEX(AD50:AJ50,0,MATCH(AO50,BU$3:CA$3,0)),INDEX(AD50:AJ50,0,MATCH(AO50,BU$3:CA$3,0)),TEXT(INDEX(AD50:AJ50,0,MATCH(AO50,BU$3:CA$3,0)),"??/??"))," = ")</f>
        <v>#N/A</v>
      </c>
      <c r="AN50" s="35" t="e">
        <f ca="1">IF(AK50/INDEX(AD50:AJ50,0,MATCH(AO50,BU$3:CA$3,0))&lt;0,"Nao zera",AK50/INDEX(AD50:AJ50,0,MATCH(AO50,BU$3:CA$3,0)))</f>
        <v>#N/A</v>
      </c>
      <c r="AO50" s="25" t="e">
        <f ca="1">AO49</f>
        <v>#N/A</v>
      </c>
      <c r="CE50" s="34"/>
      <c r="CF50" s="35"/>
      <c r="CG50" s="34"/>
    </row>
    <row r="51" spans="2:85" x14ac:dyDescent="0.25">
      <c r="B51" s="32" t="e">
        <f ca="1">IF(B42=K45,L40,B42)</f>
        <v>#N/A</v>
      </c>
      <c r="C51" s="33" t="e">
        <f ca="1">IF($B51=$L42,IF(C$3=$L42,C42/C42,C42/$K46),IF(C$3=$L42,0,C42+(-1*INDEX($C42:$H42,0,MATCH($L42,$C$3:$H$3,0)))*INDEX($C41:$H43,MATCH($K45,$B41:$B43,0),MATCH(C$3,$C$3:$H$3,0))/$K46))</f>
        <v>#N/A</v>
      </c>
      <c r="D51" s="33" t="e">
        <f t="shared" ref="D51:H51" ca="1" si="119">IF($B51=$L42,IF(D$3=$L42,D42/D42,D42/$K46),IF(D$3=$L42,0,D42+(-1*INDEX($C42:$H42,0,MATCH($L42,$C$3:$H$3,0)))*INDEX($C41:$H43,MATCH($K45,$B41:$B43,0),MATCH(D$3,$C$3:$H$3,0))/$K46))</f>
        <v>#N/A</v>
      </c>
      <c r="E51" s="33" t="e">
        <f t="shared" ca="1" si="119"/>
        <v>#N/A</v>
      </c>
      <c r="F51" s="33" t="e">
        <f t="shared" ca="1" si="119"/>
        <v>#N/A</v>
      </c>
      <c r="G51" s="33" t="e">
        <f t="shared" ca="1" si="119"/>
        <v>#N/A</v>
      </c>
      <c r="H51" s="33" t="e">
        <f t="shared" ca="1" si="119"/>
        <v>#N/A</v>
      </c>
      <c r="J51" t="e">
        <f ca="1">_xlfn.CONCAT(L51," = ",IF(INT(H51)=H51,H51,TEXT(H51,"??/??"))," ÷ ",IF(INT(INDEX(C51:G51,0,MATCH(L51,C$3:G$3,0)))=INDEX(C51:G51,0,MATCH(L51,C$3:G$3,0)),INDEX(C51:G51,0,MATCH(L51,C$3:G$3,0)),TEXT(INDEX(C51:G51,0,MATCH(L51,C$3:G$3,0)),"??/??"))," = ")</f>
        <v>#N/A</v>
      </c>
      <c r="K51" s="24" t="e">
        <f ca="1">IF(H51/INDEX(C51:G51,0,MATCH(L51,C$3:G$3,0))&lt;0,"Nao zera",H51/INDEX(C51:G51,0,MATCH(L51,C$3:G$3,0)))</f>
        <v>#N/A</v>
      </c>
      <c r="L51" s="25" t="e">
        <f ca="1">L49</f>
        <v>#N/A</v>
      </c>
      <c r="O51" s="32" t="e">
        <f ca="1">IF(O42=Y45,Z40,O42)</f>
        <v>#N/A</v>
      </c>
      <c r="P51" s="32" t="e">
        <f ca="1">IF($O51=$Z40,IF(P$3=$Z40,P42/P42,P42/$Y46),IF(P$3=$Z40,0,P42+(-1*INDEX($P42:$V42,0,MATCH($Z40,$P$3:$V$3,0)))*INDEX($P41:$V43,MATCH($Y45,$O41:$O43,0),MATCH(P$3,$P$3:$V$3,0))/$Y46))</f>
        <v>#N/A</v>
      </c>
      <c r="Q51" s="32" t="e">
        <f t="shared" ref="Q51:V51" ca="1" si="120">IF($O51=$Z40,IF(Q$3=$Z40,Q42/Q42,Q42/$Y46),IF(Q$3=$Z40,0,Q42+(-1*INDEX($P42:$V42,0,MATCH($Z40,$P$3:$V$3,0)))*INDEX($P41:$V43,MATCH($Y45,$O41:$O43,0),MATCH(Q$3,$P$3:$V$3,0))/$Y46))</f>
        <v>#N/A</v>
      </c>
      <c r="R51" s="32" t="e">
        <f t="shared" ca="1" si="120"/>
        <v>#N/A</v>
      </c>
      <c r="S51" s="32" t="e">
        <f t="shared" ca="1" si="120"/>
        <v>#N/A</v>
      </c>
      <c r="T51" s="32" t="e">
        <f t="shared" ca="1" si="120"/>
        <v>#N/A</v>
      </c>
      <c r="U51" s="32" t="e">
        <f t="shared" ca="1" si="120"/>
        <v>#N/A</v>
      </c>
      <c r="V51" s="32" t="e">
        <f t="shared" ca="1" si="120"/>
        <v>#N/A</v>
      </c>
      <c r="X51" s="34" t="e">
        <f t="shared" ref="X51:X52" ca="1" si="121">_xlfn.CONCAT(Z51," = ",IF(INT(V51)=V51,V51,TEXT(V51,"??/??"))," ÷ ",IF(INT(INDEX(P51:U51,0,MATCH(Z51,P$3:U$3,0)))=INDEX(P51:U51,0,MATCH(Z51,P$3:U$3,0)),INDEX(P51:U51,0,MATCH(Z51,P$3:U$3,0)),TEXT(INDEX(P51:U51,0,MATCH(Z51,P$3:U$3,0)),"??/??"))," = ")</f>
        <v>#N/A</v>
      </c>
      <c r="Y51" s="35" t="e">
        <f t="shared" ref="Y51:Y52" ca="1" si="122">IF(V51/INDEX(P51:U51,0,MATCH(Z51,P$3:U$3,0))&lt;0,"Nao zera",V51/INDEX(P51:U51,0,MATCH(Z51,P$3:U$3,0)))</f>
        <v>#N/A</v>
      </c>
      <c r="Z51" s="25" t="e">
        <f ca="1">Z49</f>
        <v>#N/A</v>
      </c>
      <c r="AC51" s="32" t="e">
        <f ca="1">IF(AC42=AN45,AO40,AC42)</f>
        <v>#N/A</v>
      </c>
      <c r="AD51" s="33" t="e">
        <f t="shared" ref="AD51:AJ51" ca="1" si="123">IF($AC51=$AO40,IF(BU$3=$AO40,AD42/AD42,AD42/$AN46),IF(BU$3=$AO40,0,AD42+(-1*INDEX($AD42:$AK42,0,MATCH($AO40,$BU$3:$CC$3,0)))*INDEX($AD41:$AK43,MATCH($AN45,$AC41:$AC43,0),MATCH(BU$3,$BU$3:$CC$3,0))/$AN46))</f>
        <v>#N/A</v>
      </c>
      <c r="AE51" s="33" t="e">
        <f t="shared" ca="1" si="123"/>
        <v>#N/A</v>
      </c>
      <c r="AF51" s="33" t="e">
        <f t="shared" ca="1" si="123"/>
        <v>#N/A</v>
      </c>
      <c r="AG51" s="33" t="e">
        <f t="shared" ca="1" si="123"/>
        <v>#N/A</v>
      </c>
      <c r="AH51" s="33" t="e">
        <f t="shared" ca="1" si="123"/>
        <v>#N/A</v>
      </c>
      <c r="AI51" s="33" t="e">
        <f t="shared" ca="1" si="123"/>
        <v>#N/A</v>
      </c>
      <c r="AJ51" s="33" t="e">
        <f t="shared" ca="1" si="123"/>
        <v>#N/A</v>
      </c>
      <c r="AK51" s="33" t="e">
        <f ca="1">IF($AC51=$AO40,IF(CC$3=$AO40,AK42/AK42,AK42/$AN46),IF(CC$3=$AO40,0,AK42+(-1*INDEX($AD42:$AK42,0,MATCH($AO40,$BU$3:$CC$3,0)))*INDEX($AD41:$AK43,MATCH($AN45,$AC41:$AC43,0),MATCH(CC$3,$BU$3:$CC$3,0))/$AN46))</f>
        <v>#N/A</v>
      </c>
      <c r="AM51" s="34" t="e">
        <f ca="1">_xlfn.CONCAT(AO51," = ",IF(INT(AK51)=AK51,AK51,TEXT(AK51,"??/??"))," ÷ ",IF(INT(INDEX(AD51:AJ51,0,MATCH(AO51,BU$3:CA$3,0)))=INDEX(AD51:AJ51,0,MATCH(AO51,BU$3:CA$3,0)),INDEX(AD51:AJ51,0,MATCH(AO51,BU$3:CA$3,0)),TEXT(INDEX(AD51:AJ51,0,MATCH(AO51,BU$3:CA$3,0)),"??/??"))," = ")</f>
        <v>#N/A</v>
      </c>
      <c r="AN51" s="35" t="e">
        <f ca="1">IF(AK51/INDEX(AD51:AJ51,0,MATCH(AO51,BU$3:CA$3,0))&lt;0,"Nao zera",AK51/INDEX(AD51:AJ51,0,MATCH(AO51,BU$3:CA$3,0)))</f>
        <v>#N/A</v>
      </c>
      <c r="AO51" s="25" t="e">
        <f ca="1">AO49</f>
        <v>#N/A</v>
      </c>
    </row>
    <row r="52" spans="2:85" x14ac:dyDescent="0.25">
      <c r="B52" s="32" t="e">
        <f ca="1">IF(B43=K45,L40,B43)</f>
        <v>#N/A</v>
      </c>
      <c r="C52" s="33" t="e">
        <f ca="1">IF($B52=$L43,IF(C$3=$L43,C43/C43,C43/$K46),IF(C$3=$L43,0,C43+(-1*INDEX($C43:$H43,0,MATCH($L43,$C$3:$H$3,0)))*INDEX($C41:$H43,MATCH($K45,$B41:$B43,0),MATCH(C$3,$C$3:$H$3,0))/$K46))</f>
        <v>#N/A</v>
      </c>
      <c r="D52" s="33" t="e">
        <f t="shared" ref="D52:H52" ca="1" si="124">IF($B52=$L43,IF(D$3=$L43,D43/D43,D43/$K46),IF(D$3=$L43,0,D43+(-1*INDEX($C43:$H43,0,MATCH($L43,$C$3:$H$3,0)))*INDEX($C41:$H43,MATCH($K45,$B41:$B43,0),MATCH(D$3,$C$3:$H$3,0))/$K46))</f>
        <v>#N/A</v>
      </c>
      <c r="E52" s="33" t="e">
        <f t="shared" ca="1" si="124"/>
        <v>#N/A</v>
      </c>
      <c r="F52" s="33" t="e">
        <f t="shared" ca="1" si="124"/>
        <v>#N/A</v>
      </c>
      <c r="G52" s="33" t="e">
        <f t="shared" ca="1" si="124"/>
        <v>#N/A</v>
      </c>
      <c r="H52" s="33" t="e">
        <f t="shared" ca="1" si="124"/>
        <v>#N/A</v>
      </c>
      <c r="J52" t="e">
        <f ca="1">_xlfn.CONCAT(L52," = ",IF(INT(H52)=H52,H52,TEXT(H52,"??/??"))," ÷ ",IF(INT(INDEX(C52:G52,0,MATCH(L52,C$3:G$3,0)))=INDEX(C52:G52,0,MATCH(L52,C$3:G$3,0)),INDEX(C52:G52,0,MATCH(L52,C$3:G$3,0)),TEXT(INDEX(C52:G52,0,MATCH(L52,C$3:G$3,0)),"??/??"))," = ")</f>
        <v>#N/A</v>
      </c>
      <c r="K52" s="24" t="e">
        <f ca="1">IF(H52/INDEX(C52:G52,0,MATCH(L52,C$3:G$3,0))&lt;0,"Nao zera",H52/INDEX(C52:G52,0,MATCH(L52,C$3:G$3,0)))</f>
        <v>#N/A</v>
      </c>
      <c r="L52" s="25" t="e">
        <f ca="1">L49</f>
        <v>#N/A</v>
      </c>
      <c r="O52" s="32" t="e">
        <f ca="1">IF(O43=Y45,Z40,O43)</f>
        <v>#N/A</v>
      </c>
      <c r="P52" s="32" t="e">
        <f ca="1">IF($O52=$Z40,IF(P$3=$Z40,P43/P43,P43/$Y46),IF(P$3=$Z40,0,P43+(-1*INDEX($P43:$V43,0,MATCH($Z40,$P$3:$V$3,0)))*INDEX($P41:$V43,MATCH($Y45,$O41:$O43,0),MATCH(P$3,$P$3:$V$3,0))/$Y46))</f>
        <v>#N/A</v>
      </c>
      <c r="Q52" s="32" t="e">
        <f t="shared" ref="Q52:V52" ca="1" si="125">IF($O52=$Z40,IF(Q$3=$Z40,Q43/Q43,Q43/$Y46),IF(Q$3=$Z40,0,Q43+(-1*INDEX($P43:$V43,0,MATCH($Z40,$P$3:$V$3,0)))*INDEX($P41:$V43,MATCH($Y45,$O41:$O43,0),MATCH(Q$3,$P$3:$V$3,0))/$Y46))</f>
        <v>#N/A</v>
      </c>
      <c r="R52" s="32" t="e">
        <f t="shared" ca="1" si="125"/>
        <v>#N/A</v>
      </c>
      <c r="S52" s="32" t="e">
        <f t="shared" ca="1" si="125"/>
        <v>#N/A</v>
      </c>
      <c r="T52" s="32" t="e">
        <f t="shared" ca="1" si="125"/>
        <v>#N/A</v>
      </c>
      <c r="U52" s="32" t="e">
        <f t="shared" ca="1" si="125"/>
        <v>#N/A</v>
      </c>
      <c r="V52" s="32" t="e">
        <f t="shared" ca="1" si="125"/>
        <v>#N/A</v>
      </c>
      <c r="X52" s="34" t="e">
        <f t="shared" ca="1" si="121"/>
        <v>#N/A</v>
      </c>
      <c r="Y52" s="35" t="e">
        <f t="shared" ca="1" si="122"/>
        <v>#N/A</v>
      </c>
      <c r="Z52" s="25" t="e">
        <f ca="1">Z49</f>
        <v>#N/A</v>
      </c>
      <c r="AC52" s="32" t="e">
        <f ca="1">IF(AC43=AN45,AO40,AC43)</f>
        <v>#N/A</v>
      </c>
      <c r="AD52" s="33" t="e">
        <f t="shared" ref="AD52:AJ52" ca="1" si="126">IF($AC52=$AO40,IF(BU$3=$AO40,AD43/AD43,AD43/$AN46),IF(BU$3=$AO40,0,AD43+(-1*INDEX($AD43:$AK43,0,MATCH($AO40,$BU$3:$CC$3,0)))*INDEX($AD41:$AK43,MATCH($AN45,$AC41:$AC43,0),MATCH(BU$3,$BU$3:$CC$3,0))/$AN46))</f>
        <v>#N/A</v>
      </c>
      <c r="AE52" s="33" t="e">
        <f t="shared" ca="1" si="126"/>
        <v>#N/A</v>
      </c>
      <c r="AF52" s="33" t="e">
        <f t="shared" ca="1" si="126"/>
        <v>#N/A</v>
      </c>
      <c r="AG52" s="33" t="e">
        <f t="shared" ca="1" si="126"/>
        <v>#N/A</v>
      </c>
      <c r="AH52" s="33" t="e">
        <f t="shared" ca="1" si="126"/>
        <v>#N/A</v>
      </c>
      <c r="AI52" s="33" t="e">
        <f t="shared" ca="1" si="126"/>
        <v>#N/A</v>
      </c>
      <c r="AJ52" s="33" t="e">
        <f t="shared" ca="1" si="126"/>
        <v>#N/A</v>
      </c>
      <c r="AK52" s="33" t="e">
        <f ca="1">IF($AC52=$AO40,IF(CC$3=$AO40,AK43/AK43,AK43/$AN46),IF(CC$3=$AO40,0,AK43+(-1*INDEX($AD43:$AK43,0,MATCH($AO40,$BU$3:$CC$3,0)))*INDEX($AD41:$AK43,MATCH($AN45,$AC41:$AC43,0),MATCH(CC$3,$BU$3:$CC$3,0))/$AN46))</f>
        <v>#N/A</v>
      </c>
      <c r="AM52" s="34" t="e">
        <f ca="1">_xlfn.CONCAT(AO52," = ",IF(INT(AK52)=AK52,AK52,TEXT(AK52,"??/??"))," ÷ ",IF(INT(INDEX(AD52:AJ52,0,MATCH(AO52,BU$3:CA$3,0)))=INDEX(AD52:AJ52,0,MATCH(AO52,BU$3:CA$3,0)),INDEX(AD52:AJ52,0,MATCH(AO52,BU$3:CA$3,0)),TEXT(INDEX(AD52:AJ52,0,MATCH(AO52,BU$3:CA$3,0)),"??/??"))," = ")</f>
        <v>#N/A</v>
      </c>
      <c r="AN52" s="35" t="e">
        <f ca="1">IF(AK52/INDEX(AD52:AJ52,0,MATCH(AO52,BU$3:CA$3,0))&lt;0,"Nao zera",AK52/INDEX(AD52:AJ52,0,MATCH(AO52,BU$3:CA$3,0)))</f>
        <v>#N/A</v>
      </c>
      <c r="AO52" s="25" t="e">
        <f ca="1">AO49</f>
        <v>#N/A</v>
      </c>
    </row>
    <row r="53" spans="2:85" x14ac:dyDescent="0.25">
      <c r="L53" s="25"/>
      <c r="X53" s="34"/>
      <c r="Y53" s="34"/>
      <c r="Z53" s="25"/>
      <c r="AM53" s="34"/>
      <c r="AN53" s="34"/>
      <c r="AO53" s="25"/>
    </row>
    <row r="54" spans="2:85" x14ac:dyDescent="0.25">
      <c r="J54" t="s">
        <v>37</v>
      </c>
      <c r="K54" t="e">
        <f ca="1">OFFSET(B50,MATCH(MIN(K50:K52),K50:K52,0)-1,0)</f>
        <v>#N/A</v>
      </c>
      <c r="X54" s="34" t="s">
        <v>37</v>
      </c>
      <c r="Y54" s="35" t="e">
        <f ca="1">OFFSET(O50,MATCH(MIN(Y50:Y52),Y50:Y52,0)-1,0)</f>
        <v>#N/A</v>
      </c>
      <c r="Z54" s="34"/>
      <c r="AM54" s="34" t="s">
        <v>37</v>
      </c>
      <c r="AN54" s="35" t="e">
        <f ca="1">OFFSET(AC50,MATCH(MIN(AN50:AN52),AN50:AN52,0)-1,0)</f>
        <v>#N/A</v>
      </c>
      <c r="AO54" s="34"/>
    </row>
    <row r="55" spans="2:85" x14ac:dyDescent="0.25">
      <c r="J55" t="s">
        <v>38</v>
      </c>
      <c r="K55" s="24" t="e">
        <f ca="1">INDEX(C50:G52,MATCH(K54,B50:B52,0),MATCH(L49,C$3:G$3,0))</f>
        <v>#N/A</v>
      </c>
      <c r="X55" s="34" t="s">
        <v>38</v>
      </c>
      <c r="Y55" s="35" t="e">
        <f ca="1">INDEX(P50:U52,MATCH(Y54,O50:O52,0),MATCH(Z49,P$3:U$3,0))</f>
        <v>#N/A</v>
      </c>
      <c r="Z55" s="34"/>
      <c r="AM55" s="34" t="s">
        <v>38</v>
      </c>
      <c r="AN55" s="35" t="e">
        <f ca="1">INDEX(AD50:AJ52,MATCH(AN54,AC50:AC52,0),MATCH(AO49,BU$3:CA$3,0))</f>
        <v>#N/A</v>
      </c>
      <c r="AO55" s="34"/>
    </row>
    <row r="57" spans="2:85" x14ac:dyDescent="0.25">
      <c r="O57" s="32"/>
      <c r="P57" s="32" t="str">
        <f>P48</f>
        <v>x1</v>
      </c>
      <c r="Q57" s="32" t="str">
        <f t="shared" ref="Q57:V57" si="127">Q48</f>
        <v>x2</v>
      </c>
      <c r="R57" s="32" t="str">
        <f t="shared" si="127"/>
        <v>x3</v>
      </c>
      <c r="S57" s="32" t="str">
        <f t="shared" si="127"/>
        <v>x4</v>
      </c>
      <c r="T57" s="32" t="str">
        <f t="shared" si="127"/>
        <v>x5</v>
      </c>
      <c r="U57" s="32" t="str">
        <f t="shared" si="127"/>
        <v>x6</v>
      </c>
      <c r="V57" s="32" t="str">
        <f t="shared" si="127"/>
        <v>-z0</v>
      </c>
    </row>
    <row r="58" spans="2:85" x14ac:dyDescent="0.25">
      <c r="O58" s="32" t="str">
        <f>O49</f>
        <v>-z</v>
      </c>
      <c r="P58" s="32" t="e">
        <f ca="1">IF($O58=$Z49,IF(P$3=$Z49,P49/P49,P49/$Y55),IF(P$3=$Z49,0,P49+(-1*INDEX($P49:$V49,0,MATCH($Z49,$P$3:$V$3,0)))*INDEX($P50:$V52,MATCH($Y54,$O50:$O52,0),MATCH(P$3,$P$3:$V$3,0))/$Y55))</f>
        <v>#N/A</v>
      </c>
      <c r="Q58" s="32" t="e">
        <f t="shared" ref="Q58:V58" ca="1" si="128">IF($O58=$Z49,IF(Q$3=$Z49,Q49/Q49,Q49/$Y55),IF(Q$3=$Z49,0,Q49+(-1*INDEX($P49:$V49,0,MATCH($Z49,$P$3:$V$3,0)))*INDEX($P50:$V52,MATCH($Y54,$O50:$O52,0),MATCH(Q$3,$P$3:$V$3,0))/$Y55))</f>
        <v>#N/A</v>
      </c>
      <c r="R58" s="32" t="e">
        <f t="shared" ca="1" si="128"/>
        <v>#N/A</v>
      </c>
      <c r="S58" s="32" t="e">
        <f t="shared" ca="1" si="128"/>
        <v>#N/A</v>
      </c>
      <c r="T58" s="32" t="e">
        <f t="shared" ca="1" si="128"/>
        <v>#N/A</v>
      </c>
      <c r="U58" s="32" t="e">
        <f t="shared" ca="1" si="128"/>
        <v>#N/A</v>
      </c>
      <c r="V58" s="32" t="e">
        <f t="shared" ca="1" si="128"/>
        <v>#N/A</v>
      </c>
      <c r="X58" s="34" t="s">
        <v>36</v>
      </c>
      <c r="Y58" s="34" t="e">
        <f t="array" aca="1" ref="Y58" ca="1">IF(MIN(IF(P58:U58&gt;=0,1,-1))=1,"Não","Sim")</f>
        <v>#N/A</v>
      </c>
      <c r="Z58" s="34" t="e">
        <f ca="1">IF(Y58="Sim",INDEX(P57:U57,0,MATCH(MIN(P58:U58),P58:U58,0))," ")</f>
        <v>#N/A</v>
      </c>
    </row>
    <row r="59" spans="2:85" x14ac:dyDescent="0.25">
      <c r="K59" s="24"/>
      <c r="L59" s="25"/>
      <c r="O59" s="32" t="e">
        <f ca="1">IF(O50=Y54,Z49,O50)</f>
        <v>#N/A</v>
      </c>
      <c r="P59" s="32" t="e">
        <f ca="1">IF($O59=$Z49,IF(P$3=$Z49,P50/P50,P50/$Y55),IF(P$3=$Z49,0,P50+(-1*INDEX($P50:$V50,0,MATCH($Z49,$P$3:$V$3,0)))*INDEX($P50:$V52,MATCH($Y54,$O50:$O52,0),MATCH(P$3,$P$3:$V$3,0))/$Y55))</f>
        <v>#N/A</v>
      </c>
      <c r="Q59" s="32" t="e">
        <f t="shared" ref="Q59:V59" ca="1" si="129">IF($O59=$Z49,IF(Q$3=$Z49,Q50/Q50,Q50/$Y55),IF(Q$3=$Z49,0,Q50+(-1*INDEX($P50:$V50,0,MATCH($Z49,$P$3:$V$3,0)))*INDEX($P50:$V52,MATCH($Y54,$O50:$O52,0),MATCH(Q$3,$P$3:$V$3,0))/$Y55))</f>
        <v>#N/A</v>
      </c>
      <c r="R59" s="32" t="e">
        <f t="shared" ca="1" si="129"/>
        <v>#N/A</v>
      </c>
      <c r="S59" s="32" t="e">
        <f t="shared" ca="1" si="129"/>
        <v>#N/A</v>
      </c>
      <c r="T59" s="32" t="e">
        <f t="shared" ca="1" si="129"/>
        <v>#N/A</v>
      </c>
      <c r="U59" s="32" t="e">
        <f t="shared" ca="1" si="129"/>
        <v>#N/A</v>
      </c>
      <c r="V59" s="32" t="e">
        <f t="shared" ca="1" si="129"/>
        <v>#N/A</v>
      </c>
      <c r="X59" s="34" t="e">
        <f ca="1">_xlfn.CONCAT(Z59," = ",IF(INT(V59)=V59,V59,TEXT(V59,"??/??"))," ÷ ",IF(INT(INDEX(P59:U59,0,MATCH(Z59,P$3:U$3,0)))=INDEX(P59:U59,0,MATCH(Z59,P$3:U$3,0)),INDEX(P59:U59,0,MATCH(Z59,P$3:U$3,0)),TEXT(INDEX(P59:U59,0,MATCH(Z59,P$3:U$3,0)),"??/??"))," = ")</f>
        <v>#N/A</v>
      </c>
      <c r="Y59" s="35" t="e">
        <f ca="1">IF(V59/INDEX(P59:U59,0,MATCH(Z59,P$3:U$3,0))&lt;0,"Nao zera",V59/INDEX(P59:U59,0,MATCH(Z59,P$3:U$3,0)))</f>
        <v>#N/A</v>
      </c>
      <c r="Z59" s="25" t="e">
        <f ca="1">Z58</f>
        <v>#N/A</v>
      </c>
    </row>
    <row r="60" spans="2:85" x14ac:dyDescent="0.25">
      <c r="K60" s="24"/>
      <c r="L60" s="25"/>
      <c r="O60" s="32" t="e">
        <f ca="1">IF(O51=Y54,Z49,O51)</f>
        <v>#N/A</v>
      </c>
      <c r="P60" s="32" t="e">
        <f ca="1">IF($O60=$Z49,IF(P$3=$Z49,P51/P51,P51/$Y55),IF(P$3=$Z49,0,P51+(-1*INDEX($P51:$V51,0,MATCH($Z49,$P$3:$V$3,0)))*INDEX($P50:$V52,MATCH($Y54,$O50:$O52,0),MATCH(P$3,$P$3:$V$3,0))/$Y55))</f>
        <v>#N/A</v>
      </c>
      <c r="Q60" s="32" t="e">
        <f t="shared" ref="Q60:V60" ca="1" si="130">IF($O60=$Z49,IF(Q$3=$Z49,Q51/Q51,Q51/$Y55),IF(Q$3=$Z49,0,Q51+(-1*INDEX($P51:$V51,0,MATCH($Z49,$P$3:$V$3,0)))*INDEX($P50:$V52,MATCH($Y54,$O50:$O52,0),MATCH(Q$3,$P$3:$V$3,0))/$Y55))</f>
        <v>#N/A</v>
      </c>
      <c r="R60" s="32" t="e">
        <f t="shared" ca="1" si="130"/>
        <v>#N/A</v>
      </c>
      <c r="S60" s="32" t="e">
        <f t="shared" ca="1" si="130"/>
        <v>#N/A</v>
      </c>
      <c r="T60" s="32" t="e">
        <f t="shared" ca="1" si="130"/>
        <v>#N/A</v>
      </c>
      <c r="U60" s="32" t="e">
        <f t="shared" ca="1" si="130"/>
        <v>#N/A</v>
      </c>
      <c r="V60" s="32" t="e">
        <f t="shared" ca="1" si="130"/>
        <v>#N/A</v>
      </c>
      <c r="X60" s="34" t="e">
        <f t="shared" ref="X60:X61" ca="1" si="131">_xlfn.CONCAT(Z60," = ",IF(INT(V60)=V60,V60,TEXT(V60,"??/??"))," ÷ ",IF(INT(INDEX(P60:U60,0,MATCH(Z60,P$3:U$3,0)))=INDEX(P60:U60,0,MATCH(Z60,P$3:U$3,0)),INDEX(P60:U60,0,MATCH(Z60,P$3:U$3,0)),TEXT(INDEX(P60:U60,0,MATCH(Z60,P$3:U$3,0)),"??/??"))," = ")</f>
        <v>#N/A</v>
      </c>
      <c r="Y60" s="35" t="e">
        <f t="shared" ref="Y60:Y61" ca="1" si="132">IF(V60/INDEX(P60:U60,0,MATCH(Z60,P$3:U$3,0))&lt;0,"Nao zera",V60/INDEX(P60:U60,0,MATCH(Z60,P$3:U$3,0)))</f>
        <v>#N/A</v>
      </c>
      <c r="Z60" s="25" t="e">
        <f ca="1">Z58</f>
        <v>#N/A</v>
      </c>
    </row>
    <row r="61" spans="2:85" x14ac:dyDescent="0.25">
      <c r="K61" s="24"/>
      <c r="L61" s="25"/>
      <c r="O61" s="32" t="e">
        <f ca="1">IF(O52=Y54,Z49,O52)</f>
        <v>#N/A</v>
      </c>
      <c r="P61" s="32" t="e">
        <f ca="1">IF($O61=$Z49,IF(P$3=$Z49,P52/P52,P52/$Y55),IF(P$3=$Z49,0,P52+(-1*INDEX($P52:$V52,0,MATCH($Z49,$P$3:$V$3,0)))*INDEX($P50:$V52,MATCH($Y54,$O50:$O52,0),MATCH(P$3,$P$3:$V$3,0))/$Y55))</f>
        <v>#N/A</v>
      </c>
      <c r="Q61" s="32" t="e">
        <f t="shared" ref="Q61:V61" ca="1" si="133">IF($O61=$Z49,IF(Q$3=$Z49,Q52/Q52,Q52/$Y55),IF(Q$3=$Z49,0,Q52+(-1*INDEX($P52:$V52,0,MATCH($Z49,$P$3:$V$3,0)))*INDEX($P50:$V52,MATCH($Y54,$O50:$O52,0),MATCH(Q$3,$P$3:$V$3,0))/$Y55))</f>
        <v>#N/A</v>
      </c>
      <c r="R61" s="32" t="e">
        <f t="shared" ca="1" si="133"/>
        <v>#N/A</v>
      </c>
      <c r="S61" s="32" t="e">
        <f t="shared" ca="1" si="133"/>
        <v>#N/A</v>
      </c>
      <c r="T61" s="32" t="e">
        <f t="shared" ca="1" si="133"/>
        <v>#N/A</v>
      </c>
      <c r="U61" s="32" t="e">
        <f t="shared" ca="1" si="133"/>
        <v>#N/A</v>
      </c>
      <c r="V61" s="32" t="e">
        <f t="shared" ca="1" si="133"/>
        <v>#N/A</v>
      </c>
      <c r="X61" s="34" t="e">
        <f t="shared" ca="1" si="131"/>
        <v>#N/A</v>
      </c>
      <c r="Y61" s="35" t="e">
        <f t="shared" ca="1" si="132"/>
        <v>#N/A</v>
      </c>
      <c r="Z61" s="25" t="e">
        <f ca="1">Z58</f>
        <v>#N/A</v>
      </c>
    </row>
    <row r="62" spans="2:85" x14ac:dyDescent="0.25">
      <c r="L62" s="25"/>
      <c r="X62" s="34"/>
      <c r="Y62" s="34"/>
      <c r="Z62" s="25"/>
    </row>
    <row r="63" spans="2:85" x14ac:dyDescent="0.25">
      <c r="X63" s="34" t="s">
        <v>37</v>
      </c>
      <c r="Y63" s="35" t="e">
        <f ca="1">OFFSET(O59,MATCH(MIN(Y59:Y61),Y59:Y61,0)-1,0)</f>
        <v>#N/A</v>
      </c>
      <c r="Z63" s="34"/>
    </row>
    <row r="64" spans="2:85" x14ac:dyDescent="0.25">
      <c r="K64" s="24"/>
      <c r="X64" s="34" t="s">
        <v>38</v>
      </c>
      <c r="Y64" s="35" t="e">
        <f ca="1">INDEX(P59:U61,MATCH(Y63,O59:O61,0),MATCH(Z58,P$3:U$3,0))</f>
        <v>#N/A</v>
      </c>
      <c r="Z64" s="34"/>
    </row>
  </sheetData>
  <mergeCells count="6">
    <mergeCell ref="B47:H47"/>
    <mergeCell ref="B2:H2"/>
    <mergeCell ref="B11:H11"/>
    <mergeCell ref="B20:H20"/>
    <mergeCell ref="B29:H29"/>
    <mergeCell ref="B38:H38"/>
  </mergeCells>
  <conditionalFormatting sqref="C4:H7 K5:K7 C13:H16 C22:H25 C31:H34 C40:H43 C49:H52 P4:V7 CF10 P13:V16 P22:V25 P31:V34 P40:V43 P49:V52 P58:V61 AD22:AK25 AD31:AK34 AD40:AK43 AD49:AK52 BH7:BN7 BH4:BM6 BH12:BM14 BU4:CA7 CC4:CC7 BU8:CC8 CB4:CB8 BU14:BU17">
    <cfRule type="expression" dxfId="248" priority="390">
      <formula>MOD(C4,1)=0</formula>
    </cfRule>
  </conditionalFormatting>
  <conditionalFormatting sqref="K1:K12 K20:K21 K29:K30 K38:K39 K47:K48 K56:K1048576 BB4:BB9">
    <cfRule type="cellIs" dxfId="247" priority="387" operator="equal">
      <formula>"Não"</formula>
    </cfRule>
    <cfRule type="cellIs" dxfId="246" priority="388" operator="equal">
      <formula>"Sim"</formula>
    </cfRule>
  </conditionalFormatting>
  <conditionalFormatting sqref="K14:K16">
    <cfRule type="expression" dxfId="245" priority="365">
      <formula>MOD(K14,1)=0</formula>
    </cfRule>
  </conditionalFormatting>
  <conditionalFormatting sqref="K13:K19">
    <cfRule type="cellIs" dxfId="244" priority="363" operator="equal">
      <formula>"Não"</formula>
    </cfRule>
    <cfRule type="cellIs" dxfId="243" priority="364" operator="equal">
      <formula>"Sim"</formula>
    </cfRule>
  </conditionalFormatting>
  <conditionalFormatting sqref="K23:K25">
    <cfRule type="expression" dxfId="242" priority="362">
      <formula>MOD(K23,1)=0</formula>
    </cfRule>
  </conditionalFormatting>
  <conditionalFormatting sqref="K22:K28">
    <cfRule type="cellIs" dxfId="241" priority="360" operator="equal">
      <formula>"Não"</formula>
    </cfRule>
    <cfRule type="cellIs" dxfId="240" priority="361" operator="equal">
      <formula>"Sim"</formula>
    </cfRule>
  </conditionalFormatting>
  <conditionalFormatting sqref="K32:K34">
    <cfRule type="expression" dxfId="239" priority="359">
      <formula>MOD(K32,1)=0</formula>
    </cfRule>
  </conditionalFormatting>
  <conditionalFormatting sqref="K31:K37">
    <cfRule type="cellIs" dxfId="238" priority="358" operator="equal">
      <formula>"Sim"</formula>
    </cfRule>
  </conditionalFormatting>
  <conditionalFormatting sqref="K1:K39 K47:K48 K56:K1048576 BB4:BB9">
    <cfRule type="cellIs" dxfId="237" priority="356" operator="equal">
      <formula>"Não"</formula>
    </cfRule>
  </conditionalFormatting>
  <conditionalFormatting sqref="K41:K43">
    <cfRule type="expression" dxfId="236" priority="355">
      <formula>MOD(K41,1)=0</formula>
    </cfRule>
  </conditionalFormatting>
  <conditionalFormatting sqref="K40:K46">
    <cfRule type="cellIs" dxfId="235" priority="354" operator="equal">
      <formula>"Sim"</formula>
    </cfRule>
  </conditionalFormatting>
  <conditionalFormatting sqref="K40:K46">
    <cfRule type="cellIs" dxfId="234" priority="353" operator="equal">
      <formula>"Não"</formula>
    </cfRule>
  </conditionalFormatting>
  <conditionalFormatting sqref="K50:K52">
    <cfRule type="expression" dxfId="233" priority="352">
      <formula>MOD(K50,1)=0</formula>
    </cfRule>
  </conditionalFormatting>
  <conditionalFormatting sqref="K49:K55">
    <cfRule type="cellIs" dxfId="232" priority="351" operator="equal">
      <formula>"Sim"</formula>
    </cfRule>
  </conditionalFormatting>
  <conditionalFormatting sqref="K49:K55">
    <cfRule type="cellIs" dxfId="231" priority="350" operator="equal">
      <formula>"Não"</formula>
    </cfRule>
  </conditionalFormatting>
  <conditionalFormatting sqref="B1:L1 B3:L10 B2 I2:L2 B12:L19 B11 I11:L11 B21:L28 B20 I20:L20 B30:L37 B29 I29:L29 B39:L46 B38 I38:L38 B48:L1048576 B47 I47:L47 BA4:BC7 BC8:BC10 BA8:BB9 BG7:BN9 BG3:BM6 AC1:AK2 AC20:AK29 BT8:CB11 BT3:CA7 CC3:CC7 CB3 BT19:CB20 BT14:BU18 BT13:CC13">
    <cfRule type="containsErrors" dxfId="230" priority="392">
      <formula>ISERROR(B1)</formula>
    </cfRule>
  </conditionalFormatting>
  <conditionalFormatting sqref="K59:K61">
    <cfRule type="expression" dxfId="229" priority="348">
      <formula>MOD(K59,1)=0</formula>
    </cfRule>
  </conditionalFormatting>
  <conditionalFormatting sqref="K58:K64">
    <cfRule type="cellIs" dxfId="228" priority="347" operator="equal">
      <formula>"Sim"</formula>
    </cfRule>
  </conditionalFormatting>
  <conditionalFormatting sqref="K58:K64">
    <cfRule type="cellIs" dxfId="227" priority="346" operator="equal">
      <formula>"Não"</formula>
    </cfRule>
  </conditionalFormatting>
  <conditionalFormatting sqref="Q4:V7">
    <cfRule type="expression" dxfId="226" priority="344">
      <formula>MOD(Q4,1)=0</formula>
    </cfRule>
  </conditionalFormatting>
  <conditionalFormatting sqref="Q4:V7">
    <cfRule type="containsErrors" dxfId="225" priority="345">
      <formula>ISERROR(Q4)</formula>
    </cfRule>
  </conditionalFormatting>
  <conditionalFormatting sqref="Y5:Y7">
    <cfRule type="expression" dxfId="224" priority="342">
      <formula>MOD(Y5,1)=0</formula>
    </cfRule>
  </conditionalFormatting>
  <conditionalFormatting sqref="Y4:Y10">
    <cfRule type="cellIs" dxfId="223" priority="340" operator="equal">
      <formula>"Não"</formula>
    </cfRule>
    <cfRule type="cellIs" dxfId="222" priority="341" operator="equal">
      <formula>"Sim"</formula>
    </cfRule>
  </conditionalFormatting>
  <conditionalFormatting sqref="Y4:Y10">
    <cfRule type="cellIs" dxfId="221" priority="339" operator="equal">
      <formula>"Não"</formula>
    </cfRule>
  </conditionalFormatting>
  <conditionalFormatting sqref="X4:Z10">
    <cfRule type="containsErrors" dxfId="220" priority="343">
      <formula>ISERROR(X4)</formula>
    </cfRule>
  </conditionalFormatting>
  <conditionalFormatting sqref="O1:P1048576 Q1:V11 Q13:V1048576">
    <cfRule type="containsErrors" dxfId="219" priority="313">
      <formula>ISERROR(O1)</formula>
    </cfRule>
  </conditionalFormatting>
  <conditionalFormatting sqref="CF5:CF8">
    <cfRule type="expression" dxfId="218" priority="303">
      <formula>MOD(CF5,1)=0</formula>
    </cfRule>
  </conditionalFormatting>
  <conditionalFormatting sqref="CF4:CF10">
    <cfRule type="cellIs" dxfId="217" priority="301" operator="equal">
      <formula>"Não"</formula>
    </cfRule>
    <cfRule type="cellIs" dxfId="216" priority="302" operator="equal">
      <formula>"Sim"</formula>
    </cfRule>
  </conditionalFormatting>
  <conditionalFormatting sqref="CF4:CF10">
    <cfRule type="cellIs" dxfId="215" priority="300" operator="equal">
      <formula>"Não"</formula>
    </cfRule>
  </conditionalFormatting>
  <conditionalFormatting sqref="CE4:CG10">
    <cfRule type="containsErrors" dxfId="214" priority="304">
      <formula>ISERROR(CE4)</formula>
    </cfRule>
  </conditionalFormatting>
  <conditionalFormatting sqref="BU14:CC18 BU24:CC28">
    <cfRule type="expression" dxfId="213" priority="299">
      <formula>MOD(BU14,1)=0</formula>
    </cfRule>
  </conditionalFormatting>
  <conditionalFormatting sqref="BU14">
    <cfRule type="containsErrors" dxfId="212" priority="298">
      <formula>ISERROR(BU14)</formula>
    </cfRule>
  </conditionalFormatting>
  <conditionalFormatting sqref="AC37:AK1048576">
    <cfRule type="containsErrors" dxfId="211" priority="262">
      <formula>ISERROR(AC37)</formula>
    </cfRule>
  </conditionalFormatting>
  <conditionalFormatting sqref="AS4:AY7">
    <cfRule type="expression" dxfId="210" priority="250">
      <formula>MOD(AS4,1)=0</formula>
    </cfRule>
  </conditionalFormatting>
  <conditionalFormatting sqref="AT4:AY7">
    <cfRule type="expression" dxfId="209" priority="248">
      <formula>MOD(AT4,1)=0</formula>
    </cfRule>
  </conditionalFormatting>
  <conditionalFormatting sqref="AT4:AY7">
    <cfRule type="containsErrors" dxfId="208" priority="249">
      <formula>ISERROR(AT4)</formula>
    </cfRule>
  </conditionalFormatting>
  <conditionalFormatting sqref="BB5:BB7">
    <cfRule type="expression" dxfId="207" priority="246">
      <formula>MOD(BB5,1)=0</formula>
    </cfRule>
  </conditionalFormatting>
  <conditionalFormatting sqref="AR3:AY10">
    <cfRule type="containsErrors" dxfId="206" priority="242">
      <formula>ISERROR(AR3)</formula>
    </cfRule>
  </conditionalFormatting>
  <conditionalFormatting sqref="Q12:V12">
    <cfRule type="containsErrors" dxfId="205" priority="241">
      <formula>ISERROR(Q12)</formula>
    </cfRule>
  </conditionalFormatting>
  <conditionalFormatting sqref="Y14:Y16">
    <cfRule type="expression" dxfId="204" priority="239">
      <formula>MOD(Y14,1)=0</formula>
    </cfRule>
  </conditionalFormatting>
  <conditionalFormatting sqref="Y13:Y19">
    <cfRule type="cellIs" dxfId="203" priority="237" operator="equal">
      <formula>"Não"</formula>
    </cfRule>
    <cfRule type="cellIs" dxfId="202" priority="238" operator="equal">
      <formula>"Sim"</formula>
    </cfRule>
  </conditionalFormatting>
  <conditionalFormatting sqref="Y13:Y19">
    <cfRule type="cellIs" dxfId="201" priority="236" operator="equal">
      <formula>"Não"</formula>
    </cfRule>
  </conditionalFormatting>
  <conditionalFormatting sqref="X13:Z19">
    <cfRule type="containsErrors" dxfId="200" priority="240">
      <formula>ISERROR(X13)</formula>
    </cfRule>
  </conditionalFormatting>
  <conditionalFormatting sqref="Y23:Y25">
    <cfRule type="expression" dxfId="199" priority="234">
      <formula>MOD(Y23,1)=0</formula>
    </cfRule>
  </conditionalFormatting>
  <conditionalFormatting sqref="Y22:Y28">
    <cfRule type="cellIs" dxfId="198" priority="232" operator="equal">
      <formula>"Não"</formula>
    </cfRule>
    <cfRule type="cellIs" dxfId="197" priority="233" operator="equal">
      <formula>"Sim"</formula>
    </cfRule>
  </conditionalFormatting>
  <conditionalFormatting sqref="Y22:Y28">
    <cfRule type="cellIs" dxfId="196" priority="231" operator="equal">
      <formula>"Não"</formula>
    </cfRule>
  </conditionalFormatting>
  <conditionalFormatting sqref="X22:Z28">
    <cfRule type="containsErrors" dxfId="195" priority="235">
      <formula>ISERROR(X22)</formula>
    </cfRule>
  </conditionalFormatting>
  <conditionalFormatting sqref="Y32:Y34">
    <cfRule type="expression" dxfId="194" priority="229">
      <formula>MOD(Y32,1)=0</formula>
    </cfRule>
  </conditionalFormatting>
  <conditionalFormatting sqref="Y31:Y37">
    <cfRule type="cellIs" dxfId="193" priority="227" operator="equal">
      <formula>"Não"</formula>
    </cfRule>
    <cfRule type="cellIs" dxfId="192" priority="228" operator="equal">
      <formula>"Sim"</formula>
    </cfRule>
  </conditionalFormatting>
  <conditionalFormatting sqref="Y31:Y37">
    <cfRule type="cellIs" dxfId="191" priority="226" operator="equal">
      <formula>"Não"</formula>
    </cfRule>
  </conditionalFormatting>
  <conditionalFormatting sqref="X31:Z37">
    <cfRule type="containsErrors" dxfId="190" priority="230">
      <formula>ISERROR(X31)</formula>
    </cfRule>
  </conditionalFormatting>
  <conditionalFormatting sqref="Y41:Y43">
    <cfRule type="expression" dxfId="189" priority="224">
      <formula>MOD(Y41,1)=0</formula>
    </cfRule>
  </conditionalFormatting>
  <conditionalFormatting sqref="Y40:Y46">
    <cfRule type="cellIs" dxfId="188" priority="222" operator="equal">
      <formula>"Não"</formula>
    </cfRule>
    <cfRule type="cellIs" dxfId="187" priority="223" operator="equal">
      <formula>"Sim"</formula>
    </cfRule>
  </conditionalFormatting>
  <conditionalFormatting sqref="Y40:Y46">
    <cfRule type="cellIs" dxfId="186" priority="221" operator="equal">
      <formula>"Não"</formula>
    </cfRule>
  </conditionalFormatting>
  <conditionalFormatting sqref="X40:Z46">
    <cfRule type="containsErrors" dxfId="185" priority="225">
      <formula>ISERROR(X40)</formula>
    </cfRule>
  </conditionalFormatting>
  <conditionalFormatting sqref="Y50:Y52">
    <cfRule type="expression" dxfId="184" priority="219">
      <formula>MOD(Y50,1)=0</formula>
    </cfRule>
  </conditionalFormatting>
  <conditionalFormatting sqref="Y49:Y55">
    <cfRule type="cellIs" dxfId="183" priority="217" operator="equal">
      <formula>"Não"</formula>
    </cfRule>
    <cfRule type="cellIs" dxfId="182" priority="218" operator="equal">
      <formula>"Sim"</formula>
    </cfRule>
  </conditionalFormatting>
  <conditionalFormatting sqref="Y49:Y55">
    <cfRule type="cellIs" dxfId="181" priority="216" operator="equal">
      <formula>"Não"</formula>
    </cfRule>
  </conditionalFormatting>
  <conditionalFormatting sqref="X49:Z55">
    <cfRule type="containsErrors" dxfId="180" priority="220">
      <formula>ISERROR(X49)</formula>
    </cfRule>
  </conditionalFormatting>
  <conditionalFormatting sqref="Y59:Y61">
    <cfRule type="expression" dxfId="179" priority="214">
      <formula>MOD(Y59,1)=0</formula>
    </cfRule>
  </conditionalFormatting>
  <conditionalFormatting sqref="Y58:Y64">
    <cfRule type="cellIs" dxfId="178" priority="212" operator="equal">
      <formula>"Não"</formula>
    </cfRule>
    <cfRule type="cellIs" dxfId="177" priority="213" operator="equal">
      <formula>"Sim"</formula>
    </cfRule>
  </conditionalFormatting>
  <conditionalFormatting sqref="Y58:Y64">
    <cfRule type="cellIs" dxfId="176" priority="211" operator="equal">
      <formula>"Não"</formula>
    </cfRule>
  </conditionalFormatting>
  <conditionalFormatting sqref="X58:Z64">
    <cfRule type="containsErrors" dxfId="175" priority="215">
      <formula>ISERROR(X58)</formula>
    </cfRule>
  </conditionalFormatting>
  <conditionalFormatting sqref="AN28">
    <cfRule type="expression" dxfId="174" priority="202">
      <formula>MOD(AN28,1)=0</formula>
    </cfRule>
  </conditionalFormatting>
  <conditionalFormatting sqref="AN23:AN25">
    <cfRule type="expression" dxfId="173" priority="200">
      <formula>MOD(AN23,1)=0</formula>
    </cfRule>
  </conditionalFormatting>
  <conditionalFormatting sqref="AN22:AN28">
    <cfRule type="cellIs" dxfId="172" priority="198" operator="equal">
      <formula>"Não"</formula>
    </cfRule>
    <cfRule type="cellIs" dxfId="171" priority="199" operator="equal">
      <formula>"Sim"</formula>
    </cfRule>
  </conditionalFormatting>
  <conditionalFormatting sqref="AN22:AN28">
    <cfRule type="cellIs" dxfId="170" priority="197" operator="equal">
      <formula>"Não"</formula>
    </cfRule>
  </conditionalFormatting>
  <conditionalFormatting sqref="AM22:AO28">
    <cfRule type="containsErrors" dxfId="169" priority="201">
      <formula>ISERROR(AM22)</formula>
    </cfRule>
  </conditionalFormatting>
  <conditionalFormatting sqref="AN37">
    <cfRule type="expression" dxfId="168" priority="196">
      <formula>MOD(AN37,1)=0</formula>
    </cfRule>
  </conditionalFormatting>
  <conditionalFormatting sqref="AN32:AN34">
    <cfRule type="expression" dxfId="167" priority="194">
      <formula>MOD(AN32,1)=0</formula>
    </cfRule>
  </conditionalFormatting>
  <conditionalFormatting sqref="AN31:AN37">
    <cfRule type="cellIs" dxfId="166" priority="192" operator="equal">
      <formula>"Não"</formula>
    </cfRule>
    <cfRule type="cellIs" dxfId="165" priority="193" operator="equal">
      <formula>"Sim"</formula>
    </cfRule>
  </conditionalFormatting>
  <conditionalFormatting sqref="AN31:AN37">
    <cfRule type="cellIs" dxfId="164" priority="191" operator="equal">
      <formula>"Não"</formula>
    </cfRule>
  </conditionalFormatting>
  <conditionalFormatting sqref="AM31:AO37">
    <cfRule type="containsErrors" dxfId="163" priority="195">
      <formula>ISERROR(AM31)</formula>
    </cfRule>
  </conditionalFormatting>
  <conditionalFormatting sqref="AN46">
    <cfRule type="expression" dxfId="162" priority="190">
      <formula>MOD(AN46,1)=0</formula>
    </cfRule>
  </conditionalFormatting>
  <conditionalFormatting sqref="AN41:AN43">
    <cfRule type="expression" dxfId="161" priority="188">
      <formula>MOD(AN41,1)=0</formula>
    </cfRule>
  </conditionalFormatting>
  <conditionalFormatting sqref="AN40:AN46">
    <cfRule type="cellIs" dxfId="160" priority="186" operator="equal">
      <formula>"Não"</formula>
    </cfRule>
    <cfRule type="cellIs" dxfId="159" priority="187" operator="equal">
      <formula>"Sim"</formula>
    </cfRule>
  </conditionalFormatting>
  <conditionalFormatting sqref="AN40:AN46">
    <cfRule type="cellIs" dxfId="158" priority="185" operator="equal">
      <formula>"Não"</formula>
    </cfRule>
  </conditionalFormatting>
  <conditionalFormatting sqref="AM40:AO46">
    <cfRule type="containsErrors" dxfId="157" priority="189">
      <formula>ISERROR(AM40)</formula>
    </cfRule>
  </conditionalFormatting>
  <conditionalFormatting sqref="AN55">
    <cfRule type="expression" dxfId="156" priority="184">
      <formula>MOD(AN55,1)=0</formula>
    </cfRule>
  </conditionalFormatting>
  <conditionalFormatting sqref="AN50:AN52">
    <cfRule type="expression" dxfId="155" priority="182">
      <formula>MOD(AN50,1)=0</formula>
    </cfRule>
  </conditionalFormatting>
  <conditionalFormatting sqref="AN49:AN55">
    <cfRule type="cellIs" dxfId="154" priority="180" operator="equal">
      <formula>"Não"</formula>
    </cfRule>
    <cfRule type="cellIs" dxfId="153" priority="181" operator="equal">
      <formula>"Sim"</formula>
    </cfRule>
  </conditionalFormatting>
  <conditionalFormatting sqref="AN49:AN55">
    <cfRule type="cellIs" dxfId="152" priority="179" operator="equal">
      <formula>"Não"</formula>
    </cfRule>
  </conditionalFormatting>
  <conditionalFormatting sqref="AM49:AO55">
    <cfRule type="containsErrors" dxfId="151" priority="183">
      <formula>ISERROR(AM49)</formula>
    </cfRule>
  </conditionalFormatting>
  <conditionalFormatting sqref="AS12">
    <cfRule type="expression" dxfId="150" priority="178">
      <formula>MOD(AS12,1)=0</formula>
    </cfRule>
  </conditionalFormatting>
  <conditionalFormatting sqref="AS12">
    <cfRule type="containsErrors" dxfId="149" priority="177">
      <formula>ISERROR(AS12)</formula>
    </cfRule>
  </conditionalFormatting>
  <conditionalFormatting sqref="AS4:AY6 AS12:AY14 AS20:AY22">
    <cfRule type="expression" dxfId="148" priority="176">
      <formula>MOD(AS4,1)=0</formula>
    </cfRule>
  </conditionalFormatting>
  <conditionalFormatting sqref="AT12:AY12">
    <cfRule type="containsErrors" dxfId="147" priority="175">
      <formula>ISERROR(AT12)</formula>
    </cfRule>
  </conditionalFormatting>
  <conditionalFormatting sqref="AT12:AY12">
    <cfRule type="expression" dxfId="146" priority="169">
      <formula>MOD(AT12,1)=0</formula>
    </cfRule>
  </conditionalFormatting>
  <conditionalFormatting sqref="AT12:AY12">
    <cfRule type="containsErrors" dxfId="145" priority="168">
      <formula>ISERROR(AT12)</formula>
    </cfRule>
  </conditionalFormatting>
  <conditionalFormatting sqref="AT12:AY12">
    <cfRule type="expression" dxfId="144" priority="157">
      <formula>MOD(AT12,1)=0</formula>
    </cfRule>
  </conditionalFormatting>
  <conditionalFormatting sqref="AT12:AY12">
    <cfRule type="containsErrors" dxfId="143" priority="156">
      <formula>ISERROR(AT12)</formula>
    </cfRule>
  </conditionalFormatting>
  <conditionalFormatting sqref="AT12:AY12">
    <cfRule type="expression" dxfId="142" priority="155">
      <formula>MOD(AT12,1)=0</formula>
    </cfRule>
  </conditionalFormatting>
  <conditionalFormatting sqref="AT12:AY12">
    <cfRule type="containsErrors" dxfId="141" priority="154">
      <formula>ISERROR(AT12)</formula>
    </cfRule>
  </conditionalFormatting>
  <conditionalFormatting sqref="BB12:BB17">
    <cfRule type="cellIs" dxfId="140" priority="151" operator="equal">
      <formula>"Não"</formula>
    </cfRule>
    <cfRule type="cellIs" dxfId="139" priority="152" operator="equal">
      <formula>"Sim"</formula>
    </cfRule>
  </conditionalFormatting>
  <conditionalFormatting sqref="BB12:BB17">
    <cfRule type="cellIs" dxfId="138" priority="150" operator="equal">
      <formula>"Não"</formula>
    </cfRule>
  </conditionalFormatting>
  <conditionalFormatting sqref="BA12:BC17">
    <cfRule type="containsErrors" dxfId="137" priority="153">
      <formula>ISERROR(BA12)</formula>
    </cfRule>
  </conditionalFormatting>
  <conditionalFormatting sqref="BB13:BB15">
    <cfRule type="expression" dxfId="136" priority="149">
      <formula>MOD(BB13,1)=0</formula>
    </cfRule>
  </conditionalFormatting>
  <conditionalFormatting sqref="BB20:BB25">
    <cfRule type="cellIs" dxfId="135" priority="146" operator="equal">
      <formula>"Não"</formula>
    </cfRule>
    <cfRule type="cellIs" dxfId="134" priority="147" operator="equal">
      <formula>"Sim"</formula>
    </cfRule>
  </conditionalFormatting>
  <conditionalFormatting sqref="BB20:BB25">
    <cfRule type="cellIs" dxfId="133" priority="145" operator="equal">
      <formula>"Não"</formula>
    </cfRule>
  </conditionalFormatting>
  <conditionalFormatting sqref="BA20:BC25">
    <cfRule type="containsErrors" dxfId="132" priority="148">
      <formula>ISERROR(BA20)</formula>
    </cfRule>
  </conditionalFormatting>
  <conditionalFormatting sqref="BB21:BB23">
    <cfRule type="expression" dxfId="131" priority="144">
      <formula>MOD(BB21,1)=0</formula>
    </cfRule>
  </conditionalFormatting>
  <conditionalFormatting sqref="BP4:BP9">
    <cfRule type="cellIs" dxfId="130" priority="141" operator="equal">
      <formula>"Não"</formula>
    </cfRule>
    <cfRule type="cellIs" dxfId="129" priority="142" operator="equal">
      <formula>"Sim"</formula>
    </cfRule>
  </conditionalFormatting>
  <conditionalFormatting sqref="BP4:BP9">
    <cfRule type="cellIs" dxfId="128" priority="140" operator="equal">
      <formula>"Não"</formula>
    </cfRule>
  </conditionalFormatting>
  <conditionalFormatting sqref="BO4:BQ9">
    <cfRule type="containsErrors" dxfId="127" priority="143">
      <formula>ISERROR(BO4)</formula>
    </cfRule>
  </conditionalFormatting>
  <conditionalFormatting sqref="BP5:BP7">
    <cfRule type="expression" dxfId="126" priority="136">
      <formula>MOD(BP5,1)=0</formula>
    </cfRule>
  </conditionalFormatting>
  <conditionalFormatting sqref="BP12:BP17">
    <cfRule type="cellIs" dxfId="125" priority="126" operator="equal">
      <formula>"Não"</formula>
    </cfRule>
    <cfRule type="cellIs" dxfId="124" priority="127" operator="equal">
      <formula>"Sim"</formula>
    </cfRule>
  </conditionalFormatting>
  <conditionalFormatting sqref="BP12:BP17">
    <cfRule type="cellIs" dxfId="123" priority="125" operator="equal">
      <formula>"Não"</formula>
    </cfRule>
  </conditionalFormatting>
  <conditionalFormatting sqref="BO12:BQ17">
    <cfRule type="containsErrors" dxfId="122" priority="128">
      <formula>ISERROR(BO12)</formula>
    </cfRule>
  </conditionalFormatting>
  <conditionalFormatting sqref="BP13:BP15">
    <cfRule type="expression" dxfId="121" priority="124">
      <formula>MOD(BP13,1)=0</formula>
    </cfRule>
  </conditionalFormatting>
  <conditionalFormatting sqref="BP20:BP25">
    <cfRule type="cellIs" dxfId="120" priority="121" operator="equal">
      <formula>"Não"</formula>
    </cfRule>
    <cfRule type="cellIs" dxfId="119" priority="122" operator="equal">
      <formula>"Sim"</formula>
    </cfRule>
  </conditionalFormatting>
  <conditionalFormatting sqref="BP20:BP25">
    <cfRule type="cellIs" dxfId="118" priority="120" operator="equal">
      <formula>"Não"</formula>
    </cfRule>
  </conditionalFormatting>
  <conditionalFormatting sqref="BO20:BQ25">
    <cfRule type="containsErrors" dxfId="117" priority="123">
      <formula>ISERROR(BO20)</formula>
    </cfRule>
  </conditionalFormatting>
  <conditionalFormatting sqref="BP21:BP23">
    <cfRule type="expression" dxfId="116" priority="119">
      <formula>MOD(BP21,1)=0</formula>
    </cfRule>
  </conditionalFormatting>
  <conditionalFormatting sqref="AS29:AZ32 BC35 AS38:AZ41">
    <cfRule type="expression" dxfId="115" priority="117">
      <formula>MOD(AS29,1)=0</formula>
    </cfRule>
  </conditionalFormatting>
  <conditionalFormatting sqref="AR28:AZ32">
    <cfRule type="containsErrors" dxfId="114" priority="118">
      <formula>ISERROR(AR28)</formula>
    </cfRule>
  </conditionalFormatting>
  <conditionalFormatting sqref="BC30:BC32">
    <cfRule type="expression" dxfId="113" priority="115">
      <formula>MOD(BC30,1)=0</formula>
    </cfRule>
  </conditionalFormatting>
  <conditionalFormatting sqref="BC29:BC35">
    <cfRule type="cellIs" dxfId="112" priority="113" operator="equal">
      <formula>"Não"</formula>
    </cfRule>
    <cfRule type="cellIs" dxfId="111" priority="114" operator="equal">
      <formula>"Sim"</formula>
    </cfRule>
  </conditionalFormatting>
  <conditionalFormatting sqref="BC29:BC35">
    <cfRule type="cellIs" dxfId="110" priority="112" operator="equal">
      <formula>"Não"</formula>
    </cfRule>
  </conditionalFormatting>
  <conditionalFormatting sqref="BB29:BD35">
    <cfRule type="containsErrors" dxfId="109" priority="116">
      <formula>ISERROR(BB29)</formula>
    </cfRule>
  </conditionalFormatting>
  <conditionalFormatting sqref="AS38">
    <cfRule type="expression" dxfId="108" priority="111">
      <formula>MOD(AS38,1)=0</formula>
    </cfRule>
  </conditionalFormatting>
  <conditionalFormatting sqref="AS38">
    <cfRule type="containsErrors" dxfId="107" priority="110">
      <formula>ISERROR(AS38)</formula>
    </cfRule>
  </conditionalFormatting>
  <conditionalFormatting sqref="AT38:AZ38">
    <cfRule type="expression" dxfId="106" priority="109">
      <formula>MOD(AT38,1)=0</formula>
    </cfRule>
  </conditionalFormatting>
  <conditionalFormatting sqref="AT38:AZ38">
    <cfRule type="containsErrors" dxfId="105" priority="108">
      <formula>ISERROR(AT38)</formula>
    </cfRule>
  </conditionalFormatting>
  <conditionalFormatting sqref="AT38:AZ38">
    <cfRule type="expression" dxfId="104" priority="107">
      <formula>MOD(AT38,1)=0</formula>
    </cfRule>
  </conditionalFormatting>
  <conditionalFormatting sqref="AT38:AZ38">
    <cfRule type="containsErrors" dxfId="103" priority="106">
      <formula>ISERROR(AT38)</formula>
    </cfRule>
  </conditionalFormatting>
  <conditionalFormatting sqref="AR28:AZ44">
    <cfRule type="containsErrors" dxfId="102" priority="105">
      <formula>ISERROR(AR28)</formula>
    </cfRule>
  </conditionalFormatting>
  <conditionalFormatting sqref="AT38:AZ38">
    <cfRule type="expression" dxfId="101" priority="104">
      <formula>MOD(AT38,1)=0</formula>
    </cfRule>
  </conditionalFormatting>
  <conditionalFormatting sqref="AT38:AZ38">
    <cfRule type="containsErrors" dxfId="100" priority="103">
      <formula>ISERROR(AT38)</formula>
    </cfRule>
  </conditionalFormatting>
  <conditionalFormatting sqref="BC44">
    <cfRule type="expression" dxfId="99" priority="102">
      <formula>MOD(BC44,1)=0</formula>
    </cfRule>
  </conditionalFormatting>
  <conditionalFormatting sqref="BC39:BC41">
    <cfRule type="expression" dxfId="98" priority="100">
      <formula>MOD(BC39,1)=0</formula>
    </cfRule>
  </conditionalFormatting>
  <conditionalFormatting sqref="BC38:BC44">
    <cfRule type="cellIs" dxfId="97" priority="98" operator="equal">
      <formula>"Não"</formula>
    </cfRule>
    <cfRule type="cellIs" dxfId="96" priority="99" operator="equal">
      <formula>"Sim"</formula>
    </cfRule>
  </conditionalFormatting>
  <conditionalFormatting sqref="BC38:BC44">
    <cfRule type="cellIs" dxfId="95" priority="97" operator="equal">
      <formula>"Não"</formula>
    </cfRule>
  </conditionalFormatting>
  <conditionalFormatting sqref="BB38:BD44">
    <cfRule type="containsErrors" dxfId="94" priority="101">
      <formula>ISERROR(BB38)</formula>
    </cfRule>
  </conditionalFormatting>
  <conditionalFormatting sqref="AD4:AK7 AN10 AD13:AK16">
    <cfRule type="expression" dxfId="93" priority="95">
      <formula>MOD(AD4,1)=0</formula>
    </cfRule>
  </conditionalFormatting>
  <conditionalFormatting sqref="AC3:AK7">
    <cfRule type="containsErrors" dxfId="92" priority="96">
      <formula>ISERROR(AC3)</formula>
    </cfRule>
  </conditionalFormatting>
  <conditionalFormatting sqref="AN5:AN7">
    <cfRule type="expression" dxfId="91" priority="93">
      <formula>MOD(AN5,1)=0</formula>
    </cfRule>
  </conditionalFormatting>
  <conditionalFormatting sqref="AN4:AN10">
    <cfRule type="cellIs" dxfId="90" priority="91" operator="equal">
      <formula>"Não"</formula>
    </cfRule>
    <cfRule type="cellIs" dxfId="89" priority="92" operator="equal">
      <formula>"Sim"</formula>
    </cfRule>
  </conditionalFormatting>
  <conditionalFormatting sqref="AN4:AN10">
    <cfRule type="cellIs" dxfId="88" priority="90" operator="equal">
      <formula>"Não"</formula>
    </cfRule>
  </conditionalFormatting>
  <conditionalFormatting sqref="AM4:AO10">
    <cfRule type="containsErrors" dxfId="87" priority="94">
      <formula>ISERROR(AM4)</formula>
    </cfRule>
  </conditionalFormatting>
  <conditionalFormatting sqref="AD13">
    <cfRule type="expression" dxfId="86" priority="89">
      <formula>MOD(AD13,1)=0</formula>
    </cfRule>
  </conditionalFormatting>
  <conditionalFormatting sqref="AD13">
    <cfRule type="containsErrors" dxfId="85" priority="88">
      <formula>ISERROR(AD13)</formula>
    </cfRule>
  </conditionalFormatting>
  <conditionalFormatting sqref="AE13:AK13">
    <cfRule type="expression" dxfId="84" priority="87">
      <formula>MOD(AE13,1)=0</formula>
    </cfRule>
  </conditionalFormatting>
  <conditionalFormatting sqref="AE13:AK13">
    <cfRule type="containsErrors" dxfId="83" priority="86">
      <formula>ISERROR(AE13)</formula>
    </cfRule>
  </conditionalFormatting>
  <conditionalFormatting sqref="AE13:AK13">
    <cfRule type="expression" dxfId="82" priority="85">
      <formula>MOD(AE13,1)=0</formula>
    </cfRule>
  </conditionalFormatting>
  <conditionalFormatting sqref="AE13:AK13">
    <cfRule type="containsErrors" dxfId="81" priority="84">
      <formula>ISERROR(AE13)</formula>
    </cfRule>
  </conditionalFormatting>
  <conditionalFormatting sqref="AC3:AK19">
    <cfRule type="containsErrors" dxfId="80" priority="83">
      <formula>ISERROR(AC3)</formula>
    </cfRule>
  </conditionalFormatting>
  <conditionalFormatting sqref="AE13:AK13">
    <cfRule type="expression" dxfId="79" priority="82">
      <formula>MOD(AE13,1)=0</formula>
    </cfRule>
  </conditionalFormatting>
  <conditionalFormatting sqref="AE13:AK13">
    <cfRule type="containsErrors" dxfId="78" priority="81">
      <formula>ISERROR(AE13)</formula>
    </cfRule>
  </conditionalFormatting>
  <conditionalFormatting sqref="AN19">
    <cfRule type="expression" dxfId="77" priority="80">
      <formula>MOD(AN19,1)=0</formula>
    </cfRule>
  </conditionalFormatting>
  <conditionalFormatting sqref="AN14:AN16">
    <cfRule type="expression" dxfId="76" priority="78">
      <formula>MOD(AN14,1)=0</formula>
    </cfRule>
  </conditionalFormatting>
  <conditionalFormatting sqref="AN13:AN19">
    <cfRule type="cellIs" dxfId="75" priority="76" operator="equal">
      <formula>"Não"</formula>
    </cfRule>
    <cfRule type="cellIs" dxfId="74" priority="77" operator="equal">
      <formula>"Sim"</formula>
    </cfRule>
  </conditionalFormatting>
  <conditionalFormatting sqref="AN13:AN19">
    <cfRule type="cellIs" dxfId="73" priority="75" operator="equal">
      <formula>"Não"</formula>
    </cfRule>
  </conditionalFormatting>
  <conditionalFormatting sqref="AM13:AO19">
    <cfRule type="containsErrors" dxfId="72" priority="79">
      <formula>ISERROR(AM13)</formula>
    </cfRule>
  </conditionalFormatting>
  <conditionalFormatting sqref="BU24:CC28">
    <cfRule type="expression" dxfId="71" priority="63">
      <formula>MOD(BU24,1)=0</formula>
    </cfRule>
  </conditionalFormatting>
  <conditionalFormatting sqref="BV18:CC18">
    <cfRule type="containsErrors" dxfId="70" priority="58">
      <formula>ISERROR(BV18)</formula>
    </cfRule>
  </conditionalFormatting>
  <conditionalFormatting sqref="BV18:CC18">
    <cfRule type="containsErrors" dxfId="69" priority="47">
      <formula>ISERROR(BV18)</formula>
    </cfRule>
  </conditionalFormatting>
  <conditionalFormatting sqref="BV14:CC14">
    <cfRule type="expression" dxfId="68" priority="34">
      <formula>MOD(BV14,1)=0</formula>
    </cfRule>
  </conditionalFormatting>
  <conditionalFormatting sqref="BV14:CC14">
    <cfRule type="containsErrors" dxfId="67" priority="35">
      <formula>ISERROR(BV14)</formula>
    </cfRule>
  </conditionalFormatting>
  <conditionalFormatting sqref="BV14:CC14">
    <cfRule type="expression" dxfId="66" priority="33">
      <formula>MOD(BV14,1)=0</formula>
    </cfRule>
  </conditionalFormatting>
  <conditionalFormatting sqref="BV14:CC14">
    <cfRule type="containsErrors" dxfId="65" priority="32">
      <formula>ISERROR(BV14)</formula>
    </cfRule>
  </conditionalFormatting>
  <conditionalFormatting sqref="BV15:CC15">
    <cfRule type="expression" dxfId="64" priority="30">
      <formula>MOD(BV15,1)=0</formula>
    </cfRule>
  </conditionalFormatting>
  <conditionalFormatting sqref="BV15:CC15">
    <cfRule type="containsErrors" dxfId="63" priority="31">
      <formula>ISERROR(BV15)</formula>
    </cfRule>
  </conditionalFormatting>
  <conditionalFormatting sqref="BV16:CC16 BU24:CC28">
    <cfRule type="expression" dxfId="62" priority="28">
      <formula>MOD(BU16,1)=0</formula>
    </cfRule>
  </conditionalFormatting>
  <conditionalFormatting sqref="BV16:CC16">
    <cfRule type="containsErrors" dxfId="61" priority="29">
      <formula>ISERROR(BV16)</formula>
    </cfRule>
  </conditionalFormatting>
  <conditionalFormatting sqref="BV17:CC17">
    <cfRule type="expression" dxfId="60" priority="26">
      <formula>MOD(BV17,1)=0</formula>
    </cfRule>
  </conditionalFormatting>
  <conditionalFormatting sqref="BV17:CC17">
    <cfRule type="containsErrors" dxfId="59" priority="27">
      <formula>ISERROR(BV17)</formula>
    </cfRule>
  </conditionalFormatting>
  <conditionalFormatting sqref="BV18:CC18">
    <cfRule type="containsErrors" dxfId="58" priority="25">
      <formula>ISERROR(BV18)</formula>
    </cfRule>
  </conditionalFormatting>
  <conditionalFormatting sqref="CF20">
    <cfRule type="expression" dxfId="57" priority="24">
      <formula>MOD(CF20,1)=0</formula>
    </cfRule>
  </conditionalFormatting>
  <conditionalFormatting sqref="CF15:CF18">
    <cfRule type="expression" dxfId="56" priority="22">
      <formula>MOD(CF15,1)=0</formula>
    </cfRule>
  </conditionalFormatting>
  <conditionalFormatting sqref="CF14:CF20">
    <cfRule type="cellIs" dxfId="55" priority="20" operator="equal">
      <formula>"Não"</formula>
    </cfRule>
    <cfRule type="cellIs" dxfId="54" priority="21" operator="equal">
      <formula>"Sim"</formula>
    </cfRule>
  </conditionalFormatting>
  <conditionalFormatting sqref="CF14:CF20">
    <cfRule type="cellIs" dxfId="53" priority="19" operator="equal">
      <formula>"Não"</formula>
    </cfRule>
  </conditionalFormatting>
  <conditionalFormatting sqref="CE14:CG20">
    <cfRule type="containsErrors" dxfId="52" priority="23">
      <formula>ISERROR(CE14)</formula>
    </cfRule>
  </conditionalFormatting>
  <conditionalFormatting sqref="CF30">
    <cfRule type="expression" dxfId="51" priority="18">
      <formula>MOD(CF30,1)=0</formula>
    </cfRule>
  </conditionalFormatting>
  <conditionalFormatting sqref="CF25:CF28">
    <cfRule type="expression" dxfId="50" priority="16">
      <formula>MOD(CF25,1)=0</formula>
    </cfRule>
  </conditionalFormatting>
  <conditionalFormatting sqref="CF24:CF30">
    <cfRule type="cellIs" dxfId="49" priority="14" operator="equal">
      <formula>"Não"</formula>
    </cfRule>
    <cfRule type="cellIs" dxfId="48" priority="15" operator="equal">
      <formula>"Sim"</formula>
    </cfRule>
  </conditionalFormatting>
  <conditionalFormatting sqref="CF24:CF30">
    <cfRule type="cellIs" dxfId="47" priority="13" operator="equal">
      <formula>"Não"</formula>
    </cfRule>
  </conditionalFormatting>
  <conditionalFormatting sqref="CE24:CG30">
    <cfRule type="containsErrors" dxfId="46" priority="17">
      <formula>ISERROR(CE24)</formula>
    </cfRule>
  </conditionalFormatting>
  <conditionalFormatting sqref="CF40">
    <cfRule type="expression" dxfId="45" priority="12">
      <formula>MOD(CF40,1)=0</formula>
    </cfRule>
  </conditionalFormatting>
  <conditionalFormatting sqref="CF35:CF38">
    <cfRule type="expression" dxfId="44" priority="10">
      <formula>MOD(CF35,1)=0</formula>
    </cfRule>
  </conditionalFormatting>
  <conditionalFormatting sqref="CF34:CF40">
    <cfRule type="cellIs" dxfId="43" priority="8" operator="equal">
      <formula>"Não"</formula>
    </cfRule>
    <cfRule type="cellIs" dxfId="42" priority="9" operator="equal">
      <formula>"Sim"</formula>
    </cfRule>
  </conditionalFormatting>
  <conditionalFormatting sqref="CF34:CF40">
    <cfRule type="cellIs" dxfId="41" priority="7" operator="equal">
      <formula>"Não"</formula>
    </cfRule>
  </conditionalFormatting>
  <conditionalFormatting sqref="CE34:CG40">
    <cfRule type="containsErrors" dxfId="40" priority="11">
      <formula>ISERROR(CE34)</formula>
    </cfRule>
  </conditionalFormatting>
  <conditionalFormatting sqref="CF50">
    <cfRule type="expression" dxfId="39" priority="6">
      <formula>MOD(CF50,1)=0</formula>
    </cfRule>
  </conditionalFormatting>
  <conditionalFormatting sqref="CF45:CF48">
    <cfRule type="expression" dxfId="38" priority="4">
      <formula>MOD(CF45,1)=0</formula>
    </cfRule>
  </conditionalFormatting>
  <conditionalFormatting sqref="CF44:CF50">
    <cfRule type="cellIs" dxfId="37" priority="2" operator="equal">
      <formula>"Não"</formula>
    </cfRule>
    <cfRule type="cellIs" dxfId="36" priority="3" operator="equal">
      <formula>"Sim"</formula>
    </cfRule>
  </conditionalFormatting>
  <conditionalFormatting sqref="CF44:CF50">
    <cfRule type="cellIs" dxfId="35" priority="1" operator="equal">
      <formula>"Não"</formula>
    </cfRule>
  </conditionalFormatting>
  <conditionalFormatting sqref="CE44:CG50">
    <cfRule type="containsErrors" dxfId="34" priority="5">
      <formula>ISERROR(CE44)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FA67A-D87E-4593-9196-CB4CED086FB6}">
  <sheetPr codeName="Sheet9"/>
  <dimension ref="B1:N20"/>
  <sheetViews>
    <sheetView topLeftCell="A7" zoomScale="85" zoomScaleNormal="85" workbookViewId="0">
      <selection activeCell="M14" sqref="M14"/>
    </sheetView>
  </sheetViews>
  <sheetFormatPr defaultRowHeight="15" x14ac:dyDescent="0.25"/>
  <cols>
    <col min="3" max="4" width="9.85546875" bestFit="1" customWidth="1"/>
    <col min="5" max="6" width="20.42578125" bestFit="1" customWidth="1"/>
    <col min="7" max="7" width="21" bestFit="1" customWidth="1"/>
    <col min="8" max="8" width="21.7109375" bestFit="1" customWidth="1"/>
    <col min="9" max="9" width="10.7109375" bestFit="1" customWidth="1"/>
    <col min="10" max="10" width="10.5703125" bestFit="1" customWidth="1"/>
    <col min="12" max="12" width="26.5703125" bestFit="1" customWidth="1"/>
    <col min="13" max="13" width="10.5703125" bestFit="1" customWidth="1"/>
  </cols>
  <sheetData>
    <row r="1" spans="2:14" x14ac:dyDescent="0.25">
      <c r="L1" t="s">
        <v>65</v>
      </c>
    </row>
    <row r="3" spans="2:14" x14ac:dyDescent="0.25">
      <c r="B3" s="32"/>
      <c r="C3" s="32" t="s">
        <v>29</v>
      </c>
      <c r="D3" s="32" t="s">
        <v>30</v>
      </c>
      <c r="E3" s="32" t="s">
        <v>31</v>
      </c>
      <c r="F3" s="32" t="s">
        <v>32</v>
      </c>
      <c r="G3" s="32" t="s">
        <v>33</v>
      </c>
      <c r="H3" s="32" t="s">
        <v>45</v>
      </c>
      <c r="I3" s="32" t="s">
        <v>46</v>
      </c>
      <c r="J3" s="39" t="s">
        <v>34</v>
      </c>
    </row>
    <row r="4" spans="2:14" x14ac:dyDescent="0.25">
      <c r="B4" s="37" t="s">
        <v>35</v>
      </c>
      <c r="C4" s="38">
        <v>0</v>
      </c>
      <c r="D4" s="38">
        <v>0</v>
      </c>
      <c r="E4" s="38">
        <v>6.666666666666667</v>
      </c>
      <c r="F4" s="38">
        <v>3.3333333333333335</v>
      </c>
      <c r="G4" s="38">
        <v>0.26666666666666666</v>
      </c>
      <c r="H4" s="38">
        <v>2.9333333333333331</v>
      </c>
      <c r="I4" s="38">
        <v>0</v>
      </c>
      <c r="J4" s="38">
        <v>1866.6666666666667</v>
      </c>
      <c r="L4" t="s">
        <v>47</v>
      </c>
      <c r="M4" t="str">
        <f t="array" ref="M4">IF(MIN(IF(J4:J7&gt;=0,1,-1))=1,"Não","Sim")</f>
        <v>Sim</v>
      </c>
      <c r="N4" t="str">
        <f ca="1">IF(M4="Sim", OFFSET(B5,MATCH(MIN(J5:J7),J5:J7,0)-1,0), " ")</f>
        <v>x7</v>
      </c>
    </row>
    <row r="5" spans="2:14" x14ac:dyDescent="0.25">
      <c r="B5" s="32" t="s">
        <v>29</v>
      </c>
      <c r="C5" s="38">
        <v>1</v>
      </c>
      <c r="D5" s="38">
        <v>0</v>
      </c>
      <c r="E5" s="38">
        <v>-3.3333333333333333E-2</v>
      </c>
      <c r="F5" s="38">
        <v>2.6666666666666668E-2</v>
      </c>
      <c r="G5" s="38">
        <v>-6.6666666666666671E-3</v>
      </c>
      <c r="H5" s="38">
        <v>0</v>
      </c>
      <c r="I5" s="38">
        <v>0</v>
      </c>
      <c r="J5" s="38">
        <v>6.666666666666667</v>
      </c>
      <c r="L5" t="s">
        <v>48</v>
      </c>
      <c r="M5" t="str">
        <f t="array" aca="1" ref="M5" ca="1">IF(MIN(IF(C8:I8&gt;=0,1,-1))=1,"Não","Sim")</f>
        <v>Sim</v>
      </c>
    </row>
    <row r="6" spans="2:14" x14ac:dyDescent="0.25">
      <c r="B6" s="32" t="s">
        <v>30</v>
      </c>
      <c r="C6" s="38">
        <v>0</v>
      </c>
      <c r="D6" s="38">
        <v>1</v>
      </c>
      <c r="E6" s="38">
        <v>2.3333333333333335</v>
      </c>
      <c r="F6" s="38">
        <v>1.6666666666666667</v>
      </c>
      <c r="G6" s="38">
        <v>-6.6666666666666666E-2</v>
      </c>
      <c r="H6" s="38">
        <v>0.26666666666666666</v>
      </c>
      <c r="I6" s="38">
        <v>0</v>
      </c>
      <c r="J6" s="38">
        <v>133.33333333333334</v>
      </c>
    </row>
    <row r="7" spans="2:14" x14ac:dyDescent="0.25">
      <c r="B7" s="32" t="s">
        <v>46</v>
      </c>
      <c r="C7" s="38">
        <v>0</v>
      </c>
      <c r="D7" s="38">
        <v>0</v>
      </c>
      <c r="E7" s="38">
        <v>-0.2</v>
      </c>
      <c r="F7" s="38">
        <v>-0.8</v>
      </c>
      <c r="G7" s="38">
        <v>-0.04</v>
      </c>
      <c r="H7" s="38">
        <v>-0.24</v>
      </c>
      <c r="I7" s="38">
        <v>1</v>
      </c>
      <c r="J7" s="38">
        <v>-10</v>
      </c>
    </row>
    <row r="8" spans="2:14" x14ac:dyDescent="0.25">
      <c r="C8" s="25">
        <f ca="1">OFFSET(C5,MATCH(N4,B5:B7,0)-1,0)</f>
        <v>0</v>
      </c>
      <c r="D8" s="25">
        <f ca="1">OFFSET(D5,MATCH(N4,B5:B7,0)-1,0)</f>
        <v>0</v>
      </c>
      <c r="E8" s="25">
        <f ca="1">OFFSET(E5,MATCH(N4,B5:B7,0)-1,0)</f>
        <v>-0.2</v>
      </c>
      <c r="F8" s="25">
        <f ca="1">OFFSET(F5,MATCH(N4,B5:B7,0)-1,0)</f>
        <v>-0.8</v>
      </c>
      <c r="G8" s="25">
        <f ca="1">OFFSET(G5,MATCH(N4,B5:B7,0)-1,0)</f>
        <v>-0.04</v>
      </c>
      <c r="H8" s="25">
        <f ca="1">OFFSET(H5,MATCH(N4,B5:B7,0)-1,0)</f>
        <v>-0.24</v>
      </c>
      <c r="I8" s="25">
        <f ca="1">OFFSET(I5,MATCH(N4,B5:B7,0)-1,0)</f>
        <v>1</v>
      </c>
    </row>
    <row r="9" spans="2:14" x14ac:dyDescent="0.25">
      <c r="C9" t="str">
        <f ca="1">IF(C4 &lt;&gt; 0,_xlfn.CONCAT(TEXT(C4,"????/????"), " ÷ (-1 * ", TEXT(OFFSET(C5,MATCH(N4,B5:B7,0)-1,0), "????/????"),")" ), " ")</f>
        <v xml:space="preserve"> </v>
      </c>
      <c r="D9" t="str">
        <f ca="1">IF(D4 &lt;&gt; 0,_xlfn.CONCAT(TEXT(D4,"????/????"), " ÷ (-1 * ", TEXT(OFFSET(D5,MATCH(N4,B5:B7,0)-1,0), "????/????"),")" ), " ")</f>
        <v xml:space="preserve"> </v>
      </c>
      <c r="E9" t="str">
        <f ca="1">IF(E4 &lt;&gt; 0,_xlfn.CONCAT(TEXT(E4,"????/????"), " ÷ (-1 * ", TEXT(OFFSET(E5,MATCH(N4,B5:B7,0)-1,0), "????/????"),")" ), " ")</f>
        <v xml:space="preserve">  20/3    ÷ (-1 * -   1/5   )</v>
      </c>
      <c r="F9" t="str">
        <f ca="1">IF(F4 &lt;&gt; 0,_xlfn.CONCAT(TEXT(F4,"????/????"), " ÷ (-1 * ", TEXT(OFFSET(F5,MATCH(N4,B5:B7,0)-1,0), "????/????"),")" ), " ")</f>
        <v xml:space="preserve">  10/3    ÷ (-1 * -   4/5   )</v>
      </c>
      <c r="G9" t="str">
        <f ca="1">IF(G4 &lt;&gt; 0,_xlfn.CONCAT(TEXT(G4,"????/????"), " ÷ (-1 * ", TEXT(OFFSET(G5,MATCH(N4,B5:B7,0)-1,0), "????/????"),")" ), " ")</f>
        <v xml:space="preserve">   4/15   ÷ (-1 * -   1/25  )</v>
      </c>
      <c r="H9" t="str">
        <f ca="1">IF(H4 &lt;&gt; 0,_xlfn.CONCAT(TEXT(H4,"????/????"), " ÷ (-1 * ", TEXT(OFFSET(H5,MATCH(N4,B5:B7,0)-1,0), "????/????"),")" ), " ")</f>
        <v xml:space="preserve">  44/15   ÷ (-1 * -   6/25  )</v>
      </c>
      <c r="I9" t="str">
        <f ca="1">IF(I4 &lt;&gt; 0,_xlfn.CONCAT(TEXT(I4,"????/????"), " ÷ (-1 * ", TEXT(OFFSET(I5,MATCH(N4,B5:B7,0)-1,0), "????/????"),")" ), " ")</f>
        <v xml:space="preserve"> </v>
      </c>
      <c r="J9" s="36"/>
      <c r="L9" t="s">
        <v>49</v>
      </c>
      <c r="M9" s="36">
        <f ca="1">INDEX(C8:I8,0,MATCH(MIN(C10:I10),C10:I10,0))</f>
        <v>-0.8</v>
      </c>
    </row>
    <row r="10" spans="2:14" x14ac:dyDescent="0.25">
      <c r="C10" s="36" t="str">
        <f ca="1">IF(C4 &lt;&gt; 0, C4/(-OFFSET(C5,MATCH(N4,B5:B7,0)-1,0)), " ")</f>
        <v xml:space="preserve"> </v>
      </c>
      <c r="D10" s="36" t="str">
        <f ca="1">IF(D4 &lt;&gt; 0, D4/(-OFFSET(D5,MATCH(N4,B5:B7,0)-1,0)), " ")</f>
        <v xml:space="preserve"> </v>
      </c>
      <c r="E10" s="36">
        <f ca="1">IF(E4 &lt;&gt; 0, E4/(-OFFSET(E5,MATCH(N4,B5:B7,0)-1,0)), " ")</f>
        <v>33.333333333333336</v>
      </c>
      <c r="F10" s="36">
        <f ca="1">IF(F4 &lt;&gt; 0, F4/(-OFFSET(F5,MATCH(N4,B5:B7,0)-1,0)), " ")</f>
        <v>4.166666666666667</v>
      </c>
      <c r="G10" s="36">
        <f ca="1">IF(G4 &lt;&gt; 0, G4/(-OFFSET(G5,MATCH(N4,B5:B7,0)-1,0)), " ")</f>
        <v>6.6666666666666661</v>
      </c>
      <c r="H10" s="36">
        <f ca="1">IF(H4 &lt;&gt; 0, H4/(-OFFSET(H5,MATCH(N4,B5:B7,0)-1,0)), " ")</f>
        <v>12.222222222222221</v>
      </c>
      <c r="I10" s="36" t="str">
        <f ca="1">IF(I4 &lt;&gt; 0, I4/(-OFFSET(I5,MATCH(N4,B5:B7,0)-1,0)), " ")</f>
        <v xml:space="preserve"> </v>
      </c>
      <c r="L10" t="s">
        <v>50</v>
      </c>
      <c r="M10" t="str">
        <f ca="1">INDEX(C3:I3,0,MATCH(MIN(C10:I10),C10:I10,0))</f>
        <v>x4</v>
      </c>
    </row>
    <row r="13" spans="2:14" x14ac:dyDescent="0.25">
      <c r="B13" s="32"/>
      <c r="C13" s="32" t="str">
        <f>C3</f>
        <v>x1</v>
      </c>
      <c r="D13" s="32" t="str">
        <f t="shared" ref="D13:J13" si="0">D3</f>
        <v>x2</v>
      </c>
      <c r="E13" s="32" t="str">
        <f t="shared" si="0"/>
        <v>x3</v>
      </c>
      <c r="F13" s="32" t="str">
        <f t="shared" si="0"/>
        <v>x4</v>
      </c>
      <c r="G13" s="32" t="str">
        <f t="shared" si="0"/>
        <v>x5</v>
      </c>
      <c r="H13" s="32" t="str">
        <f t="shared" si="0"/>
        <v>x6</v>
      </c>
      <c r="I13" s="32" t="str">
        <f t="shared" si="0"/>
        <v>x7</v>
      </c>
      <c r="J13" s="32" t="str">
        <f t="shared" si="0"/>
        <v>-z0</v>
      </c>
    </row>
    <row r="14" spans="2:14" x14ac:dyDescent="0.25">
      <c r="B14" s="32" t="str">
        <f>B4</f>
        <v>-z</v>
      </c>
      <c r="C14" s="38">
        <f ca="1">IF($B14=$M10,IF(C$3=$M10,C4/C4,C4/$M9),IF(C$3=$M10,0,C4+(-1*INDEX($C4:$J4,0,MATCH($M10,$C$3:$J$3,0)))*INDEX($C5:$J7,MATCH($N4,$B5:$B7,0),MATCH(C$3,$C$3:$J$3,0))/$M9))</f>
        <v>0</v>
      </c>
      <c r="D14" s="38">
        <f t="shared" ref="D14:J14" ca="1" si="1">IF($B14=$M10,IF(D$3=$M10,D4/D4,D4/$M9),IF(D$3=$M10,0,D4+(-1*INDEX($C4:$J4,0,MATCH($M10,$C$3:$J$3,0)))*INDEX($C5:$J7,MATCH($N4,$B5:$B7,0),MATCH(D$3,$C$3:$J$3,0))/$M9))</f>
        <v>0</v>
      </c>
      <c r="E14" s="38">
        <f t="shared" ca="1" si="1"/>
        <v>5.8333333333333339</v>
      </c>
      <c r="F14" s="38">
        <f t="shared" ca="1" si="1"/>
        <v>0</v>
      </c>
      <c r="G14" s="38">
        <f t="shared" ca="1" si="1"/>
        <v>0.1</v>
      </c>
      <c r="H14" s="38">
        <f t="shared" ca="1" si="1"/>
        <v>1.9333333333333331</v>
      </c>
      <c r="I14" s="38">
        <f t="shared" ca="1" si="1"/>
        <v>4.166666666666667</v>
      </c>
      <c r="J14" s="38">
        <f t="shared" ca="1" si="1"/>
        <v>1825</v>
      </c>
      <c r="L14" s="34" t="s">
        <v>47</v>
      </c>
      <c r="M14" s="34" t="str">
        <f t="array" aca="1" ref="M14" ca="1">IF(MIN(IF(J14:J17&gt;=0,1,-1))=1,"Não","Sim")</f>
        <v>Não</v>
      </c>
      <c r="N14" s="34" t="str">
        <f ca="1">IF(M14="Sim", OFFSET(B15,MATCH(MIN(J15:J17),J15:J17,0)-1,0), " ")</f>
        <v xml:space="preserve"> </v>
      </c>
    </row>
    <row r="15" spans="2:14" x14ac:dyDescent="0.25">
      <c r="B15" s="32" t="str">
        <f ca="1">IF(B5=N4,M10,B5)</f>
        <v>x1</v>
      </c>
      <c r="C15" s="38">
        <f ca="1">IF($B15=$M10,IF(C$3=$M10,C5/C5,C5/$M9),IF(C$3=$M10,0,C5+(-1*INDEX($C5:$J5,0,MATCH($M10,$C$3:$J$3,0)))*INDEX($C5:$J7,MATCH($N4,$B5:$B7,0),MATCH(C$3,$C$3:$J$3,0))/$M9))</f>
        <v>1</v>
      </c>
      <c r="D15" s="38">
        <f t="shared" ref="D15:J15" ca="1" si="2">IF($B15=$M10,IF(D$3=$M10,D5/D5,D5/$M9),IF(D$3=$M10,0,D5+(-1*INDEX($C5:$J5,0,MATCH($M10,$C$3:$J$3,0)))*INDEX($C5:$J7,MATCH($N4,$B5:$B7,0),MATCH(D$3,$C$3:$J$3,0))/$M9))</f>
        <v>0</v>
      </c>
      <c r="E15" s="38">
        <f t="shared" ca="1" si="2"/>
        <v>-0.04</v>
      </c>
      <c r="F15" s="38">
        <f t="shared" ca="1" si="2"/>
        <v>0</v>
      </c>
      <c r="G15" s="38">
        <f t="shared" ca="1" si="2"/>
        <v>-8.0000000000000002E-3</v>
      </c>
      <c r="H15" s="38">
        <f t="shared" ca="1" si="2"/>
        <v>-8.0000000000000002E-3</v>
      </c>
      <c r="I15" s="38">
        <f t="shared" ca="1" si="2"/>
        <v>3.3333333333333333E-2</v>
      </c>
      <c r="J15" s="38">
        <f t="shared" ca="1" si="2"/>
        <v>6.3333333333333339</v>
      </c>
      <c r="L15" s="34" t="s">
        <v>48</v>
      </c>
      <c r="M15" s="34" t="e">
        <f t="array" aca="1" ref="M15" ca="1">IF(MIN(IF(C18:I18&gt;=0,1,-1))=1,"Não","Sim")</f>
        <v>#N/A</v>
      </c>
      <c r="N15" s="34"/>
    </row>
    <row r="16" spans="2:14" x14ac:dyDescent="0.25">
      <c r="B16" s="32" t="str">
        <f ca="1">IF(B6=N4,M10,B6)</f>
        <v>x2</v>
      </c>
      <c r="C16" s="38">
        <f ca="1">IF($B16=$M10,IF(C$3=$M10,C6/C6,C6/$M9),IF(C$3=$M10,0,C6+(-1*INDEX($C6:$J6,0,MATCH($M10,$C$3:$J$3,0)))*INDEX($C5:$J7,MATCH($N4,$B5:$B7,0),MATCH(C$3,$C$3:$J$3,0))/$M9))</f>
        <v>0</v>
      </c>
      <c r="D16" s="38">
        <f t="shared" ref="D16:J16" ca="1" si="3">IF($B16=$M10,IF(D$3=$M10,D6/D6,D6/$M9),IF(D$3=$M10,0,D6+(-1*INDEX($C6:$J6,0,MATCH($M10,$C$3:$J$3,0)))*INDEX($C5:$J7,MATCH($N4,$B5:$B7,0),MATCH(D$3,$C$3:$J$3,0))/$M9))</f>
        <v>1</v>
      </c>
      <c r="E16" s="38">
        <f t="shared" ca="1" si="3"/>
        <v>1.9166666666666667</v>
      </c>
      <c r="F16" s="38">
        <f t="shared" ca="1" si="3"/>
        <v>0</v>
      </c>
      <c r="G16" s="38">
        <f t="shared" ca="1" si="3"/>
        <v>-0.15</v>
      </c>
      <c r="H16" s="38">
        <f t="shared" ca="1" si="3"/>
        <v>-0.23333333333333334</v>
      </c>
      <c r="I16" s="38">
        <f t="shared" ca="1" si="3"/>
        <v>2.0833333333333335</v>
      </c>
      <c r="J16" s="38">
        <f t="shared" ca="1" si="3"/>
        <v>112.50000000000001</v>
      </c>
      <c r="L16" s="34"/>
      <c r="M16" s="34"/>
      <c r="N16" s="34"/>
    </row>
    <row r="17" spans="2:14" x14ac:dyDescent="0.25">
      <c r="B17" s="32" t="str">
        <f ca="1">IF(B7=N4,M10,B7)</f>
        <v>x4</v>
      </c>
      <c r="C17" s="38">
        <f ca="1">IF($B17=$M10,IF(C$3=$M10,C7/C7,C7/$M9),IF(C$3=$M10,0,C7+(-1*INDEX($C7:$J7,0,MATCH($M10,$C$3:$J$3,0)))*INDEX($C5:$J7,MATCH($N4,$B5:$B7,0),MATCH(C$3,$C$3:$J$3,0))/$M9))</f>
        <v>0</v>
      </c>
      <c r="D17" s="38">
        <f t="shared" ref="D17:J17" ca="1" si="4">IF($B17=$M10,IF(D$3=$M10,D7/D7,D7/$M9),IF(D$3=$M10,0,D7+(-1*INDEX($C7:$J7,0,MATCH($M10,$C$3:$J$3,0)))*INDEX($C5:$J7,MATCH($N4,$B5:$B7,0),MATCH(D$3,$C$3:$J$3,0))/$M9))</f>
        <v>0</v>
      </c>
      <c r="E17" s="38">
        <f t="shared" ca="1" si="4"/>
        <v>0.25</v>
      </c>
      <c r="F17" s="38">
        <f t="shared" ca="1" si="4"/>
        <v>1</v>
      </c>
      <c r="G17" s="38">
        <f t="shared" ca="1" si="4"/>
        <v>4.9999999999999996E-2</v>
      </c>
      <c r="H17" s="38">
        <f t="shared" ca="1" si="4"/>
        <v>0.3</v>
      </c>
      <c r="I17" s="38">
        <f t="shared" ca="1" si="4"/>
        <v>-1.25</v>
      </c>
      <c r="J17" s="38">
        <f t="shared" ca="1" si="4"/>
        <v>12.5</v>
      </c>
      <c r="L17" s="34"/>
      <c r="M17" s="34"/>
      <c r="N17" s="34"/>
    </row>
    <row r="18" spans="2:14" x14ac:dyDescent="0.25">
      <c r="C18" s="25" t="e">
        <f ca="1">OFFSET(C15,MATCH(N14,B15:B17,0)-1,0)</f>
        <v>#N/A</v>
      </c>
      <c r="D18" s="25" t="e">
        <f ca="1">OFFSET(D15,MATCH(N14,B15:B17,0)-1,0)</f>
        <v>#N/A</v>
      </c>
      <c r="E18" s="25" t="e">
        <f ca="1">OFFSET(E15,MATCH(N14,B15:B17,0)-1,0)</f>
        <v>#N/A</v>
      </c>
      <c r="F18" s="25" t="e">
        <f ca="1">OFFSET(F15,MATCH(N14,B15:B17,0)-1,0)</f>
        <v>#N/A</v>
      </c>
      <c r="G18" s="25" t="e">
        <f ca="1">OFFSET(G15,MATCH(N14,B15:B17,0)-1,0)</f>
        <v>#N/A</v>
      </c>
      <c r="H18" s="25" t="e">
        <f ca="1">OFFSET(H15,MATCH(N14,B15:B17,0)-1,0)</f>
        <v>#N/A</v>
      </c>
      <c r="I18" s="25" t="e">
        <f ca="1">OFFSET(I15,MATCH(N14,B15:B17,0)-1,0)</f>
        <v>#N/A</v>
      </c>
      <c r="L18" s="34"/>
      <c r="M18" s="34"/>
      <c r="N18" s="34"/>
    </row>
    <row r="19" spans="2:14" x14ac:dyDescent="0.25">
      <c r="C19" s="34" t="str">
        <f ca="1">IF(C14 &lt;&gt; 0,_xlfn.CONCAT(TEXT(C14,"????/????"), " ÷ (-1 * ", TEXT(OFFSET(C15,MATCH(N14,B15:B17,0)-1,0), "????/????"),")" ), " ")</f>
        <v xml:space="preserve"> </v>
      </c>
      <c r="D19" s="34" t="str">
        <f ca="1">IF(D14 &lt;&gt; 0,_xlfn.CONCAT(TEXT(D14,"????/????"), " ÷ (-1 * ", TEXT(OFFSET(D15,MATCH(N14,B15:B17,0)-1,0), "????/????"),")" ), " ")</f>
        <v xml:space="preserve"> </v>
      </c>
      <c r="E19" s="34" t="e">
        <f ca="1">IF(E14 &lt;&gt; 0,_xlfn.CONCAT(TEXT(E14,"????/????"), " ÷ (-1 * ", TEXT(OFFSET(E15,MATCH(N14,B15:B17,0)-1,0), "????/????"),")" ), " ")</f>
        <v>#N/A</v>
      </c>
      <c r="F19" s="34" t="str">
        <f ca="1">IF(F14 &lt;&gt; 0,_xlfn.CONCAT(TEXT(F14,"????/????"), " ÷ (-1 * ", TEXT(OFFSET(F15,MATCH(N14,B15:B17,0)-1,0), "????/????"),")" ), " ")</f>
        <v xml:space="preserve"> </v>
      </c>
      <c r="G19" s="34" t="e">
        <f ca="1">IF(G14 &lt;&gt; 0,_xlfn.CONCAT(TEXT(G14,"????/????"), " ÷ (-1 * ", TEXT(OFFSET(G15,MATCH(N14,B15:B17,0)-1,0), "????/????"),")" ), " ")</f>
        <v>#N/A</v>
      </c>
      <c r="H19" s="34" t="e">
        <f ca="1">IF(H14 &lt;&gt; 0,_xlfn.CONCAT(TEXT(H14,"????/????"), " ÷ (-1 * ", TEXT(OFFSET(H15,MATCH(N14,B15:B17,0)-1,0), "????/????"),")" ), " ")</f>
        <v>#N/A</v>
      </c>
      <c r="I19" s="34" t="e">
        <f ca="1">IF(I14 &lt;&gt; 0,_xlfn.CONCAT(TEXT(I14,"????/????"), " ÷ (-1 * ", TEXT(OFFSET(I15,MATCH(N14,B15:B17,0)-1,0), "????/????"),")" ), " ")</f>
        <v>#N/A</v>
      </c>
      <c r="L19" s="34" t="s">
        <v>49</v>
      </c>
      <c r="M19" s="36" t="e">
        <f ca="1">INDEX(C18:I18,0,MATCH(MIN(C20:I20),C20:I20,0))</f>
        <v>#N/A</v>
      </c>
      <c r="N19" s="34"/>
    </row>
    <row r="20" spans="2:14" x14ac:dyDescent="0.25">
      <c r="C20" s="36" t="str">
        <f ca="1">IF(C14 &lt;&gt; 0, C14/(-OFFSET(C15,MATCH(N14,B15:B17,0)-1,0)), " ")</f>
        <v xml:space="preserve"> </v>
      </c>
      <c r="D20" s="36" t="str">
        <f ca="1">IF(D14 &lt;&gt; 0, D14/(-OFFSET(D15,MATCH(N14,B15:B17,0)-1,0)), " ")</f>
        <v xml:space="preserve"> </v>
      </c>
      <c r="E20" s="36" t="e">
        <f ca="1">IF(E14 &lt;&gt; 0, E14/(-OFFSET(E15,MATCH(N14,B15:B17,0)-1,0)), " ")</f>
        <v>#N/A</v>
      </c>
      <c r="F20" s="36" t="str">
        <f ca="1">IF(F14 &lt;&gt; 0, F14/(-OFFSET(F15,MATCH(N14,B15:B17,0)-1,0)), " ")</f>
        <v xml:space="preserve"> </v>
      </c>
      <c r="G20" s="36" t="e">
        <f ca="1">IF(G14 &lt;&gt; 0, G14/(-OFFSET(G15,MATCH(N14,B15:B17,0)-1,0)), " ")</f>
        <v>#N/A</v>
      </c>
      <c r="H20" s="36" t="e">
        <f ca="1">IF(H14 &lt;&gt; 0, H14/(-OFFSET(H15,MATCH(N14,B15:B17,0)-1,0)), " ")</f>
        <v>#N/A</v>
      </c>
      <c r="I20" s="36" t="e">
        <f ca="1">IF(I14 &lt;&gt; 0, I14/(-OFFSET(I15,MATCH(N14,B15:B17,0)-1,0)), " ")</f>
        <v>#N/A</v>
      </c>
      <c r="L20" s="34" t="s">
        <v>50</v>
      </c>
      <c r="M20" s="34" t="e">
        <f ca="1">INDEX(C13:I13,0,MATCH(MIN(C20:I20),C20:I20,0))</f>
        <v>#N/A</v>
      </c>
      <c r="N20" s="34"/>
    </row>
  </sheetData>
  <conditionalFormatting sqref="C4:J7 C14:J17">
    <cfRule type="expression" dxfId="33" priority="2">
      <formula>MOD(C4,1)=0</formula>
    </cfRule>
  </conditionalFormatting>
  <conditionalFormatting sqref="B1:N1048576">
    <cfRule type="containsErrors" dxfId="32" priority="1">
      <formula>ISERROR(B1)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A7953-A0F4-4E49-AC5E-627978B47423}">
  <sheetPr codeName="Sheet3"/>
  <dimension ref="A2:L13"/>
  <sheetViews>
    <sheetView workbookViewId="0">
      <selection activeCell="M9" sqref="M9"/>
    </sheetView>
  </sheetViews>
  <sheetFormatPr defaultRowHeight="15" x14ac:dyDescent="0.25"/>
  <sheetData>
    <row r="2" spans="1:12" x14ac:dyDescent="0.25">
      <c r="A2" s="8" t="s">
        <v>2</v>
      </c>
      <c r="B2" s="8" t="s">
        <v>3</v>
      </c>
      <c r="C2" s="8" t="s">
        <v>5</v>
      </c>
      <c r="D2" s="14" t="s">
        <v>17</v>
      </c>
    </row>
    <row r="3" spans="1:12" x14ac:dyDescent="0.25">
      <c r="A3" s="18">
        <v>0.1</v>
      </c>
      <c r="B3" s="18">
        <v>5</v>
      </c>
      <c r="C3" s="2">
        <v>0.01</v>
      </c>
      <c r="D3" s="15">
        <v>2</v>
      </c>
    </row>
    <row r="5" spans="1:12" x14ac:dyDescent="0.25">
      <c r="A5" s="11" t="s">
        <v>4</v>
      </c>
      <c r="B5" s="11" t="s">
        <v>6</v>
      </c>
      <c r="C5" s="11" t="s">
        <v>11</v>
      </c>
      <c r="D5" s="11" t="s">
        <v>15</v>
      </c>
      <c r="E5" s="11" t="s">
        <v>12</v>
      </c>
      <c r="F5" s="11" t="s">
        <v>7</v>
      </c>
      <c r="G5" s="16" t="s">
        <v>8</v>
      </c>
      <c r="H5" s="11" t="s">
        <v>13</v>
      </c>
      <c r="I5" s="11" t="s">
        <v>16</v>
      </c>
      <c r="J5" s="11" t="s">
        <v>14</v>
      </c>
      <c r="K5" s="16" t="s">
        <v>9</v>
      </c>
      <c r="L5" s="11" t="s">
        <v>10</v>
      </c>
    </row>
    <row r="6" spans="1:12" x14ac:dyDescent="0.25">
      <c r="A6" s="12">
        <v>0</v>
      </c>
      <c r="B6" s="13">
        <f>A3</f>
        <v>0.1</v>
      </c>
      <c r="C6" s="13">
        <f>(B6+D6)/2</f>
        <v>1.325</v>
      </c>
      <c r="D6" s="13">
        <f>(B6+F6)/2</f>
        <v>2.5499999999999998</v>
      </c>
      <c r="E6" s="13">
        <f>(D6+F6)/2</f>
        <v>3.7749999999999999</v>
      </c>
      <c r="F6" s="13">
        <f>B3</f>
        <v>5</v>
      </c>
      <c r="G6" s="17"/>
      <c r="H6" s="13">
        <f>LN(C6) + 1/C6 + (1+$D$3)/10*C6</f>
        <v>1.433629440570261</v>
      </c>
      <c r="I6" s="13">
        <f>LN(D6) + 1/D6 + (1+$D$3)/10*D6</f>
        <v>2.093250221915433</v>
      </c>
      <c r="J6" s="13">
        <f>LN(E6) + 1/E6 + (1+$D$3)/10*E6</f>
        <v>2.7258010449526435</v>
      </c>
      <c r="K6" s="17"/>
      <c r="L6" s="13">
        <f>F6-B6</f>
        <v>4.9000000000000004</v>
      </c>
    </row>
    <row r="7" spans="1:12" x14ac:dyDescent="0.25">
      <c r="A7" s="12">
        <v>1</v>
      </c>
      <c r="B7" s="13">
        <f>IF(AND(I6&lt;H6,I6&lt;J6),C6,IF(H6&lt;I6,B6,D6))</f>
        <v>0.1</v>
      </c>
      <c r="C7" s="13">
        <f>(B7+D7)/2</f>
        <v>0.71250000000000002</v>
      </c>
      <c r="D7" s="13">
        <f>(B7+F7)/2</f>
        <v>1.325</v>
      </c>
      <c r="E7" s="13">
        <f>(D7+F7)/2</f>
        <v>1.9375</v>
      </c>
      <c r="F7" s="13">
        <f>IF(AND(I6&lt;H6,I6&lt;J6),E6,IF(H6&lt;I6,D6,F6))</f>
        <v>2.5499999999999998</v>
      </c>
      <c r="G7" s="17"/>
      <c r="H7" s="13">
        <f t="shared" ref="H7:H9" si="0">LN(C7) + 1/C7 + (1+$D$3)/10*C7</f>
        <v>1.2782834050904932</v>
      </c>
      <c r="I7" s="13">
        <f t="shared" ref="I7:I9" si="1">LN(D7) + 1/D7 + (1+$D$3)/10*D7</f>
        <v>1.433629440570261</v>
      </c>
      <c r="J7" s="13">
        <f t="shared" ref="J7:J9" si="2">LN(E7) + 1/E7 + (1+$D$3)/10*E7</f>
        <v>1.7587775145034295</v>
      </c>
      <c r="K7" s="17"/>
      <c r="L7" s="13">
        <f>F7-B7</f>
        <v>2.4499999999999997</v>
      </c>
    </row>
    <row r="8" spans="1:12" x14ac:dyDescent="0.25">
      <c r="A8" s="12">
        <v>2</v>
      </c>
      <c r="B8" s="13">
        <f t="shared" ref="B8:B9" si="3">IF(AND(I7&lt;H7,I7&lt;J7),C7,IF(H7&lt;I7,B7,D7))</f>
        <v>0.1</v>
      </c>
      <c r="C8" s="13">
        <f t="shared" ref="C8:C9" si="4">(B8+D8)/2</f>
        <v>0.40625</v>
      </c>
      <c r="D8" s="13">
        <f t="shared" ref="D8:D9" si="5">(B8+F8)/2</f>
        <v>0.71250000000000002</v>
      </c>
      <c r="E8" s="13">
        <f t="shared" ref="E8:E9" si="6">(D8+F8)/2</f>
        <v>1.01875</v>
      </c>
      <c r="F8" s="13">
        <f t="shared" ref="F8:F9" si="7">IF(AND(I7&lt;H7,I7&lt;J7),E7,IF(H7&lt;I7,D7,F7))</f>
        <v>1.325</v>
      </c>
      <c r="G8" s="17"/>
      <c r="H8" s="13">
        <f t="shared" si="0"/>
        <v>1.6826269162002718</v>
      </c>
      <c r="I8" s="13">
        <f t="shared" si="1"/>
        <v>1.2782834050904932</v>
      </c>
      <c r="J8" s="13">
        <f t="shared" si="2"/>
        <v>1.3057964775974753</v>
      </c>
      <c r="K8" s="17"/>
      <c r="L8" s="13">
        <f t="shared" ref="L8:L9" si="8">F8-B8</f>
        <v>1.2249999999999999</v>
      </c>
    </row>
    <row r="9" spans="1:12" x14ac:dyDescent="0.25">
      <c r="A9" s="12">
        <v>3</v>
      </c>
      <c r="B9" s="13">
        <f t="shared" si="3"/>
        <v>0.40625</v>
      </c>
      <c r="C9" s="13">
        <f t="shared" si="4"/>
        <v>0.55937499999999996</v>
      </c>
      <c r="D9" s="13">
        <f t="shared" si="5"/>
        <v>0.71250000000000002</v>
      </c>
      <c r="E9" s="13">
        <f t="shared" si="6"/>
        <v>0.86562500000000009</v>
      </c>
      <c r="F9" s="13">
        <f t="shared" si="7"/>
        <v>1.01875</v>
      </c>
      <c r="G9" s="17"/>
      <c r="H9" s="13">
        <f t="shared" si="0"/>
        <v>1.3745868072536866</v>
      </c>
      <c r="I9" s="13">
        <f t="shared" si="1"/>
        <v>1.2782834050904932</v>
      </c>
      <c r="J9" s="13">
        <f t="shared" si="2"/>
        <v>1.2706186674332776</v>
      </c>
      <c r="K9" s="17"/>
      <c r="L9" s="13">
        <f t="shared" si="8"/>
        <v>0.61250000000000004</v>
      </c>
    </row>
    <row r="10" spans="1:12" x14ac:dyDescent="0.25">
      <c r="A10" s="12">
        <v>4</v>
      </c>
      <c r="B10" s="13">
        <f t="shared" ref="B10" si="9">IF(AND(I9&lt;H9,I9&lt;J9),C9,IF(H9&lt;I9,B9,D9))</f>
        <v>0.71250000000000002</v>
      </c>
      <c r="C10" s="13">
        <f t="shared" ref="C10" si="10">(B10+D10)/2</f>
        <v>0.7890625</v>
      </c>
      <c r="D10" s="13">
        <f t="shared" ref="D10" si="11">(B10+F10)/2</f>
        <v>0.86562500000000009</v>
      </c>
      <c r="E10" s="13">
        <f t="shared" ref="E10" si="12">(D10+F10)/2</f>
        <v>0.94218750000000007</v>
      </c>
      <c r="F10" s="13">
        <f t="shared" ref="F10" si="13">IF(AND(I9&lt;H9,I9&lt;J9),E9,IF(H9&lt;I9,D9,F9))</f>
        <v>1.01875</v>
      </c>
      <c r="G10" s="17"/>
      <c r="H10" s="13">
        <f t="shared" ref="H10" si="14">LN(C10) + 1/C10 + (1+$D$3)/10*C10</f>
        <v>1.2671357355949096</v>
      </c>
      <c r="I10" s="13">
        <f t="shared" ref="I10" si="15">LN(D10) + 1/D10 + (1+$D$3)/10*D10</f>
        <v>1.2706186674332776</v>
      </c>
      <c r="J10" s="13">
        <f t="shared" ref="J10" si="16">LN(E10) + 1/E10 + (1+$D$3)/10*E10</f>
        <v>1.2844651377034844</v>
      </c>
      <c r="K10" s="17"/>
      <c r="L10" s="13">
        <f t="shared" ref="L10" si="17">F10-B10</f>
        <v>0.30625000000000002</v>
      </c>
    </row>
    <row r="11" spans="1:12" x14ac:dyDescent="0.25">
      <c r="A11" s="12"/>
      <c r="B11" s="13"/>
      <c r="C11" s="13"/>
      <c r="D11" s="13"/>
      <c r="E11" s="13"/>
      <c r="F11" s="13"/>
      <c r="G11" s="17"/>
      <c r="H11" s="13"/>
      <c r="I11" s="13"/>
      <c r="J11" s="13"/>
      <c r="K11" s="17"/>
      <c r="L11" s="13"/>
    </row>
    <row r="12" spans="1:12" x14ac:dyDescent="0.25">
      <c r="A12" s="12"/>
      <c r="B12" s="13"/>
      <c r="C12" s="13"/>
      <c r="D12" s="13"/>
      <c r="E12" s="13"/>
      <c r="F12" s="13"/>
      <c r="G12" s="17"/>
      <c r="H12" s="13"/>
      <c r="I12" s="13"/>
      <c r="J12" s="13"/>
      <c r="K12" s="17"/>
      <c r="L12" s="13"/>
    </row>
    <row r="13" spans="1:12" x14ac:dyDescent="0.25">
      <c r="A13" s="12"/>
      <c r="B13" s="13"/>
      <c r="C13" s="13"/>
      <c r="D13" s="13"/>
      <c r="E13" s="13"/>
      <c r="F13" s="13"/>
      <c r="G13" s="17"/>
      <c r="H13" s="13"/>
      <c r="I13" s="13"/>
      <c r="J13" s="13"/>
      <c r="K13" s="17"/>
      <c r="L13" s="13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FB886-173C-4296-894A-ED494638030B}">
  <sheetPr codeName="Sheet4"/>
  <dimension ref="A1:P345"/>
  <sheetViews>
    <sheetView topLeftCell="A3" zoomScale="130" zoomScaleNormal="130" workbookViewId="0">
      <selection activeCell="K9" sqref="K9"/>
    </sheetView>
  </sheetViews>
  <sheetFormatPr defaultRowHeight="12.75" x14ac:dyDescent="0.2"/>
  <cols>
    <col min="1" max="1" width="8.7109375" style="1" customWidth="1"/>
    <col min="2" max="6" width="8.85546875" style="1"/>
    <col min="7" max="7" width="11.7109375" style="1" bestFit="1" customWidth="1"/>
    <col min="8" max="9" width="8.85546875" style="1"/>
    <col min="10" max="10" width="10.140625" style="1" bestFit="1" customWidth="1"/>
    <col min="11" max="256" width="8.85546875" style="1"/>
    <col min="257" max="257" width="8.7109375" style="1" customWidth="1"/>
    <col min="258" max="262" width="8.85546875" style="1"/>
    <col min="263" max="263" width="11.7109375" style="1" bestFit="1" customWidth="1"/>
    <col min="264" max="512" width="8.85546875" style="1"/>
    <col min="513" max="513" width="8.7109375" style="1" customWidth="1"/>
    <col min="514" max="518" width="8.85546875" style="1"/>
    <col min="519" max="519" width="11.7109375" style="1" bestFit="1" customWidth="1"/>
    <col min="520" max="768" width="8.85546875" style="1"/>
    <col min="769" max="769" width="8.7109375" style="1" customWidth="1"/>
    <col min="770" max="774" width="8.85546875" style="1"/>
    <col min="775" max="775" width="11.7109375" style="1" bestFit="1" customWidth="1"/>
    <col min="776" max="1024" width="8.85546875" style="1"/>
    <col min="1025" max="1025" width="8.7109375" style="1" customWidth="1"/>
    <col min="1026" max="1030" width="8.85546875" style="1"/>
    <col min="1031" max="1031" width="11.7109375" style="1" bestFit="1" customWidth="1"/>
    <col min="1032" max="1280" width="8.85546875" style="1"/>
    <col min="1281" max="1281" width="8.7109375" style="1" customWidth="1"/>
    <col min="1282" max="1286" width="8.85546875" style="1"/>
    <col min="1287" max="1287" width="11.7109375" style="1" bestFit="1" customWidth="1"/>
    <col min="1288" max="1536" width="8.85546875" style="1"/>
    <col min="1537" max="1537" width="8.7109375" style="1" customWidth="1"/>
    <col min="1538" max="1542" width="8.85546875" style="1"/>
    <col min="1543" max="1543" width="11.7109375" style="1" bestFit="1" customWidth="1"/>
    <col min="1544" max="1792" width="8.85546875" style="1"/>
    <col min="1793" max="1793" width="8.7109375" style="1" customWidth="1"/>
    <col min="1794" max="1798" width="8.85546875" style="1"/>
    <col min="1799" max="1799" width="11.7109375" style="1" bestFit="1" customWidth="1"/>
    <col min="1800" max="2048" width="8.85546875" style="1"/>
    <col min="2049" max="2049" width="8.7109375" style="1" customWidth="1"/>
    <col min="2050" max="2054" width="8.85546875" style="1"/>
    <col min="2055" max="2055" width="11.7109375" style="1" bestFit="1" customWidth="1"/>
    <col min="2056" max="2304" width="8.85546875" style="1"/>
    <col min="2305" max="2305" width="8.7109375" style="1" customWidth="1"/>
    <col min="2306" max="2310" width="8.85546875" style="1"/>
    <col min="2311" max="2311" width="11.7109375" style="1" bestFit="1" customWidth="1"/>
    <col min="2312" max="2560" width="8.85546875" style="1"/>
    <col min="2561" max="2561" width="8.7109375" style="1" customWidth="1"/>
    <col min="2562" max="2566" width="8.85546875" style="1"/>
    <col min="2567" max="2567" width="11.7109375" style="1" bestFit="1" customWidth="1"/>
    <col min="2568" max="2816" width="8.85546875" style="1"/>
    <col min="2817" max="2817" width="8.7109375" style="1" customWidth="1"/>
    <col min="2818" max="2822" width="8.85546875" style="1"/>
    <col min="2823" max="2823" width="11.7109375" style="1" bestFit="1" customWidth="1"/>
    <col min="2824" max="3072" width="8.85546875" style="1"/>
    <col min="3073" max="3073" width="8.7109375" style="1" customWidth="1"/>
    <col min="3074" max="3078" width="8.85546875" style="1"/>
    <col min="3079" max="3079" width="11.7109375" style="1" bestFit="1" customWidth="1"/>
    <col min="3080" max="3328" width="8.85546875" style="1"/>
    <col min="3329" max="3329" width="8.7109375" style="1" customWidth="1"/>
    <col min="3330" max="3334" width="8.85546875" style="1"/>
    <col min="3335" max="3335" width="11.7109375" style="1" bestFit="1" customWidth="1"/>
    <col min="3336" max="3584" width="8.85546875" style="1"/>
    <col min="3585" max="3585" width="8.7109375" style="1" customWidth="1"/>
    <col min="3586" max="3590" width="8.85546875" style="1"/>
    <col min="3591" max="3591" width="11.7109375" style="1" bestFit="1" customWidth="1"/>
    <col min="3592" max="3840" width="8.85546875" style="1"/>
    <col min="3841" max="3841" width="8.7109375" style="1" customWidth="1"/>
    <col min="3842" max="3846" width="8.85546875" style="1"/>
    <col min="3847" max="3847" width="11.7109375" style="1" bestFit="1" customWidth="1"/>
    <col min="3848" max="4096" width="8.85546875" style="1"/>
    <col min="4097" max="4097" width="8.7109375" style="1" customWidth="1"/>
    <col min="4098" max="4102" width="8.85546875" style="1"/>
    <col min="4103" max="4103" width="11.7109375" style="1" bestFit="1" customWidth="1"/>
    <col min="4104" max="4352" width="8.85546875" style="1"/>
    <col min="4353" max="4353" width="8.7109375" style="1" customWidth="1"/>
    <col min="4354" max="4358" width="8.85546875" style="1"/>
    <col min="4359" max="4359" width="11.7109375" style="1" bestFit="1" customWidth="1"/>
    <col min="4360" max="4608" width="8.85546875" style="1"/>
    <col min="4609" max="4609" width="8.7109375" style="1" customWidth="1"/>
    <col min="4610" max="4614" width="8.85546875" style="1"/>
    <col min="4615" max="4615" width="11.7109375" style="1" bestFit="1" customWidth="1"/>
    <col min="4616" max="4864" width="8.85546875" style="1"/>
    <col min="4865" max="4865" width="8.7109375" style="1" customWidth="1"/>
    <col min="4866" max="4870" width="8.85546875" style="1"/>
    <col min="4871" max="4871" width="11.7109375" style="1" bestFit="1" customWidth="1"/>
    <col min="4872" max="5120" width="8.85546875" style="1"/>
    <col min="5121" max="5121" width="8.7109375" style="1" customWidth="1"/>
    <col min="5122" max="5126" width="8.85546875" style="1"/>
    <col min="5127" max="5127" width="11.7109375" style="1" bestFit="1" customWidth="1"/>
    <col min="5128" max="5376" width="8.85546875" style="1"/>
    <col min="5377" max="5377" width="8.7109375" style="1" customWidth="1"/>
    <col min="5378" max="5382" width="8.85546875" style="1"/>
    <col min="5383" max="5383" width="11.7109375" style="1" bestFit="1" customWidth="1"/>
    <col min="5384" max="5632" width="8.85546875" style="1"/>
    <col min="5633" max="5633" width="8.7109375" style="1" customWidth="1"/>
    <col min="5634" max="5638" width="8.85546875" style="1"/>
    <col min="5639" max="5639" width="11.7109375" style="1" bestFit="1" customWidth="1"/>
    <col min="5640" max="5888" width="8.85546875" style="1"/>
    <col min="5889" max="5889" width="8.7109375" style="1" customWidth="1"/>
    <col min="5890" max="5894" width="8.85546875" style="1"/>
    <col min="5895" max="5895" width="11.7109375" style="1" bestFit="1" customWidth="1"/>
    <col min="5896" max="6144" width="8.85546875" style="1"/>
    <col min="6145" max="6145" width="8.7109375" style="1" customWidth="1"/>
    <col min="6146" max="6150" width="8.85546875" style="1"/>
    <col min="6151" max="6151" width="11.7109375" style="1" bestFit="1" customWidth="1"/>
    <col min="6152" max="6400" width="8.85546875" style="1"/>
    <col min="6401" max="6401" width="8.7109375" style="1" customWidth="1"/>
    <col min="6402" max="6406" width="8.85546875" style="1"/>
    <col min="6407" max="6407" width="11.7109375" style="1" bestFit="1" customWidth="1"/>
    <col min="6408" max="6656" width="8.85546875" style="1"/>
    <col min="6657" max="6657" width="8.7109375" style="1" customWidth="1"/>
    <col min="6658" max="6662" width="8.85546875" style="1"/>
    <col min="6663" max="6663" width="11.7109375" style="1" bestFit="1" customWidth="1"/>
    <col min="6664" max="6912" width="8.85546875" style="1"/>
    <col min="6913" max="6913" width="8.7109375" style="1" customWidth="1"/>
    <col min="6914" max="6918" width="8.85546875" style="1"/>
    <col min="6919" max="6919" width="11.7109375" style="1" bestFit="1" customWidth="1"/>
    <col min="6920" max="7168" width="8.85546875" style="1"/>
    <col min="7169" max="7169" width="8.7109375" style="1" customWidth="1"/>
    <col min="7170" max="7174" width="8.85546875" style="1"/>
    <col min="7175" max="7175" width="11.7109375" style="1" bestFit="1" customWidth="1"/>
    <col min="7176" max="7424" width="8.85546875" style="1"/>
    <col min="7425" max="7425" width="8.7109375" style="1" customWidth="1"/>
    <col min="7426" max="7430" width="8.85546875" style="1"/>
    <col min="7431" max="7431" width="11.7109375" style="1" bestFit="1" customWidth="1"/>
    <col min="7432" max="7680" width="8.85546875" style="1"/>
    <col min="7681" max="7681" width="8.7109375" style="1" customWidth="1"/>
    <col min="7682" max="7686" width="8.85546875" style="1"/>
    <col min="7687" max="7687" width="11.7109375" style="1" bestFit="1" customWidth="1"/>
    <col min="7688" max="7936" width="8.85546875" style="1"/>
    <col min="7937" max="7937" width="8.7109375" style="1" customWidth="1"/>
    <col min="7938" max="7942" width="8.85546875" style="1"/>
    <col min="7943" max="7943" width="11.7109375" style="1" bestFit="1" customWidth="1"/>
    <col min="7944" max="8192" width="8.85546875" style="1"/>
    <col min="8193" max="8193" width="8.7109375" style="1" customWidth="1"/>
    <col min="8194" max="8198" width="8.85546875" style="1"/>
    <col min="8199" max="8199" width="11.7109375" style="1" bestFit="1" customWidth="1"/>
    <col min="8200" max="8448" width="8.85546875" style="1"/>
    <col min="8449" max="8449" width="8.7109375" style="1" customWidth="1"/>
    <col min="8450" max="8454" width="8.85546875" style="1"/>
    <col min="8455" max="8455" width="11.7109375" style="1" bestFit="1" customWidth="1"/>
    <col min="8456" max="8704" width="8.85546875" style="1"/>
    <col min="8705" max="8705" width="8.7109375" style="1" customWidth="1"/>
    <col min="8706" max="8710" width="8.85546875" style="1"/>
    <col min="8711" max="8711" width="11.7109375" style="1" bestFit="1" customWidth="1"/>
    <col min="8712" max="8960" width="8.85546875" style="1"/>
    <col min="8961" max="8961" width="8.7109375" style="1" customWidth="1"/>
    <col min="8962" max="8966" width="8.85546875" style="1"/>
    <col min="8967" max="8967" width="11.7109375" style="1" bestFit="1" customWidth="1"/>
    <col min="8968" max="9216" width="8.85546875" style="1"/>
    <col min="9217" max="9217" width="8.7109375" style="1" customWidth="1"/>
    <col min="9218" max="9222" width="8.85546875" style="1"/>
    <col min="9223" max="9223" width="11.7109375" style="1" bestFit="1" customWidth="1"/>
    <col min="9224" max="9472" width="8.85546875" style="1"/>
    <col min="9473" max="9473" width="8.7109375" style="1" customWidth="1"/>
    <col min="9474" max="9478" width="8.85546875" style="1"/>
    <col min="9479" max="9479" width="11.7109375" style="1" bestFit="1" customWidth="1"/>
    <col min="9480" max="9728" width="8.85546875" style="1"/>
    <col min="9729" max="9729" width="8.7109375" style="1" customWidth="1"/>
    <col min="9730" max="9734" width="8.85546875" style="1"/>
    <col min="9735" max="9735" width="11.7109375" style="1" bestFit="1" customWidth="1"/>
    <col min="9736" max="9984" width="8.85546875" style="1"/>
    <col min="9985" max="9985" width="8.7109375" style="1" customWidth="1"/>
    <col min="9986" max="9990" width="8.85546875" style="1"/>
    <col min="9991" max="9991" width="11.7109375" style="1" bestFit="1" customWidth="1"/>
    <col min="9992" max="10240" width="8.85546875" style="1"/>
    <col min="10241" max="10241" width="8.7109375" style="1" customWidth="1"/>
    <col min="10242" max="10246" width="8.85546875" style="1"/>
    <col min="10247" max="10247" width="11.7109375" style="1" bestFit="1" customWidth="1"/>
    <col min="10248" max="10496" width="8.85546875" style="1"/>
    <col min="10497" max="10497" width="8.7109375" style="1" customWidth="1"/>
    <col min="10498" max="10502" width="8.85546875" style="1"/>
    <col min="10503" max="10503" width="11.7109375" style="1" bestFit="1" customWidth="1"/>
    <col min="10504" max="10752" width="8.85546875" style="1"/>
    <col min="10753" max="10753" width="8.7109375" style="1" customWidth="1"/>
    <col min="10754" max="10758" width="8.85546875" style="1"/>
    <col min="10759" max="10759" width="11.7109375" style="1" bestFit="1" customWidth="1"/>
    <col min="10760" max="11008" width="8.85546875" style="1"/>
    <col min="11009" max="11009" width="8.7109375" style="1" customWidth="1"/>
    <col min="11010" max="11014" width="8.85546875" style="1"/>
    <col min="11015" max="11015" width="11.7109375" style="1" bestFit="1" customWidth="1"/>
    <col min="11016" max="11264" width="8.85546875" style="1"/>
    <col min="11265" max="11265" width="8.7109375" style="1" customWidth="1"/>
    <col min="11266" max="11270" width="8.85546875" style="1"/>
    <col min="11271" max="11271" width="11.7109375" style="1" bestFit="1" customWidth="1"/>
    <col min="11272" max="11520" width="8.85546875" style="1"/>
    <col min="11521" max="11521" width="8.7109375" style="1" customWidth="1"/>
    <col min="11522" max="11526" width="8.85546875" style="1"/>
    <col min="11527" max="11527" width="11.7109375" style="1" bestFit="1" customWidth="1"/>
    <col min="11528" max="11776" width="8.85546875" style="1"/>
    <col min="11777" max="11777" width="8.7109375" style="1" customWidth="1"/>
    <col min="11778" max="11782" width="8.85546875" style="1"/>
    <col min="11783" max="11783" width="11.7109375" style="1" bestFit="1" customWidth="1"/>
    <col min="11784" max="12032" width="8.85546875" style="1"/>
    <col min="12033" max="12033" width="8.7109375" style="1" customWidth="1"/>
    <col min="12034" max="12038" width="8.85546875" style="1"/>
    <col min="12039" max="12039" width="11.7109375" style="1" bestFit="1" customWidth="1"/>
    <col min="12040" max="12288" width="8.85546875" style="1"/>
    <col min="12289" max="12289" width="8.7109375" style="1" customWidth="1"/>
    <col min="12290" max="12294" width="8.85546875" style="1"/>
    <col min="12295" max="12295" width="11.7109375" style="1" bestFit="1" customWidth="1"/>
    <col min="12296" max="12544" width="8.85546875" style="1"/>
    <col min="12545" max="12545" width="8.7109375" style="1" customWidth="1"/>
    <col min="12546" max="12550" width="8.85546875" style="1"/>
    <col min="12551" max="12551" width="11.7109375" style="1" bestFit="1" customWidth="1"/>
    <col min="12552" max="12800" width="8.85546875" style="1"/>
    <col min="12801" max="12801" width="8.7109375" style="1" customWidth="1"/>
    <col min="12802" max="12806" width="8.85546875" style="1"/>
    <col min="12807" max="12807" width="11.7109375" style="1" bestFit="1" customWidth="1"/>
    <col min="12808" max="13056" width="8.85546875" style="1"/>
    <col min="13057" max="13057" width="8.7109375" style="1" customWidth="1"/>
    <col min="13058" max="13062" width="8.85546875" style="1"/>
    <col min="13063" max="13063" width="11.7109375" style="1" bestFit="1" customWidth="1"/>
    <col min="13064" max="13312" width="8.85546875" style="1"/>
    <col min="13313" max="13313" width="8.7109375" style="1" customWidth="1"/>
    <col min="13314" max="13318" width="8.85546875" style="1"/>
    <col min="13319" max="13319" width="11.7109375" style="1" bestFit="1" customWidth="1"/>
    <col min="13320" max="13568" width="8.85546875" style="1"/>
    <col min="13569" max="13569" width="8.7109375" style="1" customWidth="1"/>
    <col min="13570" max="13574" width="8.85546875" style="1"/>
    <col min="13575" max="13575" width="11.7109375" style="1" bestFit="1" customWidth="1"/>
    <col min="13576" max="13824" width="8.85546875" style="1"/>
    <col min="13825" max="13825" width="8.7109375" style="1" customWidth="1"/>
    <col min="13826" max="13830" width="8.85546875" style="1"/>
    <col min="13831" max="13831" width="11.7109375" style="1" bestFit="1" customWidth="1"/>
    <col min="13832" max="14080" width="8.85546875" style="1"/>
    <col min="14081" max="14081" width="8.7109375" style="1" customWidth="1"/>
    <col min="14082" max="14086" width="8.85546875" style="1"/>
    <col min="14087" max="14087" width="11.7109375" style="1" bestFit="1" customWidth="1"/>
    <col min="14088" max="14336" width="8.85546875" style="1"/>
    <col min="14337" max="14337" width="8.7109375" style="1" customWidth="1"/>
    <col min="14338" max="14342" width="8.85546875" style="1"/>
    <col min="14343" max="14343" width="11.7109375" style="1" bestFit="1" customWidth="1"/>
    <col min="14344" max="14592" width="8.85546875" style="1"/>
    <col min="14593" max="14593" width="8.7109375" style="1" customWidth="1"/>
    <col min="14594" max="14598" width="8.85546875" style="1"/>
    <col min="14599" max="14599" width="11.7109375" style="1" bestFit="1" customWidth="1"/>
    <col min="14600" max="14848" width="8.85546875" style="1"/>
    <col min="14849" max="14849" width="8.7109375" style="1" customWidth="1"/>
    <col min="14850" max="14854" width="8.85546875" style="1"/>
    <col min="14855" max="14855" width="11.7109375" style="1" bestFit="1" customWidth="1"/>
    <col min="14856" max="15104" width="8.85546875" style="1"/>
    <col min="15105" max="15105" width="8.7109375" style="1" customWidth="1"/>
    <col min="15106" max="15110" width="8.85546875" style="1"/>
    <col min="15111" max="15111" width="11.7109375" style="1" bestFit="1" customWidth="1"/>
    <col min="15112" max="15360" width="8.85546875" style="1"/>
    <col min="15361" max="15361" width="8.7109375" style="1" customWidth="1"/>
    <col min="15362" max="15366" width="8.85546875" style="1"/>
    <col min="15367" max="15367" width="11.7109375" style="1" bestFit="1" customWidth="1"/>
    <col min="15368" max="15616" width="8.85546875" style="1"/>
    <col min="15617" max="15617" width="8.7109375" style="1" customWidth="1"/>
    <col min="15618" max="15622" width="8.85546875" style="1"/>
    <col min="15623" max="15623" width="11.7109375" style="1" bestFit="1" customWidth="1"/>
    <col min="15624" max="15872" width="8.85546875" style="1"/>
    <col min="15873" max="15873" width="8.7109375" style="1" customWidth="1"/>
    <col min="15874" max="15878" width="8.85546875" style="1"/>
    <col min="15879" max="15879" width="11.7109375" style="1" bestFit="1" customWidth="1"/>
    <col min="15880" max="16128" width="8.85546875" style="1"/>
    <col min="16129" max="16129" width="8.7109375" style="1" customWidth="1"/>
    <col min="16130" max="16134" width="8.85546875" style="1"/>
    <col min="16135" max="16135" width="11.7109375" style="1" bestFit="1" customWidth="1"/>
    <col min="16136" max="16384" width="8.85546875" style="1"/>
  </cols>
  <sheetData>
    <row r="1" spans="1:16" x14ac:dyDescent="0.2">
      <c r="A1" s="6" t="s">
        <v>0</v>
      </c>
    </row>
    <row r="2" spans="1:16" x14ac:dyDescent="0.2">
      <c r="E2" s="2"/>
      <c r="F2" s="2"/>
    </row>
    <row r="3" spans="1:16" x14ac:dyDescent="0.2">
      <c r="A3" s="8" t="s">
        <v>1</v>
      </c>
      <c r="B3" s="8" t="s">
        <v>2</v>
      </c>
      <c r="C3" s="8" t="s">
        <v>3</v>
      </c>
      <c r="D3" s="8" t="s">
        <v>5</v>
      </c>
      <c r="E3" s="2"/>
      <c r="F3" s="5"/>
      <c r="J3" s="2"/>
    </row>
    <row r="4" spans="1:16" x14ac:dyDescent="0.2">
      <c r="A4" s="1">
        <f>((SQRT(5)+1)/2)-1</f>
        <v>0.6180339887498949</v>
      </c>
      <c r="B4" s="18">
        <v>8</v>
      </c>
      <c r="C4" s="18">
        <v>32</v>
      </c>
      <c r="D4" s="2">
        <v>0.02</v>
      </c>
      <c r="J4" s="2"/>
    </row>
    <row r="5" spans="1:16" x14ac:dyDescent="0.2">
      <c r="B5" s="2"/>
      <c r="C5" s="2"/>
      <c r="D5" s="2"/>
      <c r="E5" s="2"/>
      <c r="F5" s="2"/>
      <c r="G5" s="2"/>
      <c r="H5" s="2"/>
      <c r="I5" s="2"/>
      <c r="J5" s="2"/>
    </row>
    <row r="6" spans="1:16" ht="15" x14ac:dyDescent="0.25">
      <c r="A6" s="11" t="s">
        <v>4</v>
      </c>
      <c r="B6" s="19" t="s">
        <v>6</v>
      </c>
      <c r="C6" s="19" t="s">
        <v>11</v>
      </c>
      <c r="D6" s="19" t="s">
        <v>12</v>
      </c>
      <c r="E6" s="19" t="s">
        <v>7</v>
      </c>
      <c r="F6" s="11" t="s">
        <v>8</v>
      </c>
      <c r="G6" s="11" t="s">
        <v>13</v>
      </c>
      <c r="H6" s="11" t="s">
        <v>14</v>
      </c>
      <c r="I6" s="11" t="s">
        <v>9</v>
      </c>
      <c r="J6" s="11" t="s">
        <v>10</v>
      </c>
    </row>
    <row r="7" spans="1:16" ht="15" x14ac:dyDescent="0.25">
      <c r="A7" s="12">
        <v>0</v>
      </c>
      <c r="B7" s="20">
        <f>B4</f>
        <v>8</v>
      </c>
      <c r="C7" s="20">
        <f>E7-$A$4*(E7-B7)</f>
        <v>17.167184270002522</v>
      </c>
      <c r="D7" s="20">
        <f>B7+$A$4*(E7-B7)</f>
        <v>22.832815729997478</v>
      </c>
      <c r="E7" s="20">
        <f>C4</f>
        <v>32</v>
      </c>
      <c r="F7" s="13">
        <f>0.75*B7+1089.4/(8-0.2*SQRT(400/B7))</f>
        <v>171.41684282014921</v>
      </c>
      <c r="G7" s="13">
        <f t="shared" ref="F7:I8" si="0">0.75*C7+1089.4/(8-0.2*SQRT(400/C7))</f>
        <v>167.73864818401339</v>
      </c>
      <c r="H7" s="13">
        <f t="shared" si="0"/>
        <v>169.21396863721111</v>
      </c>
      <c r="I7" s="13">
        <f t="shared" si="0"/>
        <v>173.37830121928545</v>
      </c>
      <c r="J7" s="13">
        <f>E7-B7</f>
        <v>24</v>
      </c>
      <c r="K7" s="3"/>
      <c r="O7" s="10"/>
      <c r="P7" s="7"/>
    </row>
    <row r="8" spans="1:16" ht="15" x14ac:dyDescent="0.25">
      <c r="A8" s="12">
        <v>1</v>
      </c>
      <c r="B8" s="20">
        <f>IF(G7&lt;H7,B7,C7)</f>
        <v>8</v>
      </c>
      <c r="C8" s="20">
        <f>IF(G7&lt;H7,D7-$A$4*(D7-B7),D7)</f>
        <v>13.665631459994952</v>
      </c>
      <c r="D8" s="20">
        <f>IF(G7&lt;H7,C7,C7+$A$4*(E7-C7))</f>
        <v>17.167184270002522</v>
      </c>
      <c r="E8" s="20">
        <f>IF(G7&lt;H7,D7,E7)</f>
        <v>22.832815729997478</v>
      </c>
      <c r="F8" s="13">
        <f t="shared" si="0"/>
        <v>171.41684282014921</v>
      </c>
      <c r="G8" s="13">
        <f t="shared" si="0"/>
        <v>167.7234956956126</v>
      </c>
      <c r="H8" s="13">
        <f t="shared" si="0"/>
        <v>167.73864818401339</v>
      </c>
      <c r="I8" s="13">
        <f t="shared" si="0"/>
        <v>169.21396863721111</v>
      </c>
      <c r="J8" s="13">
        <f>E8-B8</f>
        <v>14.832815729997478</v>
      </c>
      <c r="O8" s="10"/>
      <c r="P8" s="7"/>
    </row>
    <row r="9" spans="1:16" ht="15" x14ac:dyDescent="0.25">
      <c r="A9" s="12">
        <v>2</v>
      </c>
      <c r="B9" s="20">
        <f t="shared" ref="B9:B16" si="1">IF(G8&lt;H8,B8,C8)</f>
        <v>8</v>
      </c>
      <c r="C9" s="20">
        <f t="shared" ref="C9:C16" si="2">IF(G8&lt;H8,D8-$A$4*(D8-B8),D8)</f>
        <v>11.501552810007571</v>
      </c>
      <c r="D9" s="20">
        <f t="shared" ref="D9:D16" si="3">IF(G8&lt;H8,C8,C8+$A$4*(E8-C8))</f>
        <v>13.665631459994952</v>
      </c>
      <c r="E9" s="20">
        <f t="shared" ref="E9:E16" si="4">IF(G8&lt;H8,D8,E8)</f>
        <v>17.167184270002522</v>
      </c>
      <c r="F9" s="13">
        <f t="shared" ref="F9:F16" si="5">0.75*B9+1089.4/(8-0.2*SQRT(400/B9))</f>
        <v>171.41684282014921</v>
      </c>
      <c r="G9" s="13">
        <f t="shared" ref="G9:G16" si="6">0.75*C9+1089.4/(8-0.2*SQRT(400/C9))</f>
        <v>168.34949512680132</v>
      </c>
      <c r="H9" s="13">
        <f t="shared" ref="H9:H16" si="7">0.75*D9+1089.4/(8-0.2*SQRT(400/D9))</f>
        <v>167.7234956956126</v>
      </c>
      <c r="I9" s="13">
        <f t="shared" ref="I9:I16" si="8">0.75*E9+1089.4/(8-0.2*SQRT(400/E9))</f>
        <v>167.73864818401339</v>
      </c>
      <c r="J9" s="13">
        <f t="shared" ref="J9:J16" si="9">E9-B9</f>
        <v>9.1671842700025223</v>
      </c>
      <c r="O9" s="10"/>
      <c r="P9" s="7"/>
    </row>
    <row r="10" spans="1:16" ht="15" x14ac:dyDescent="0.25">
      <c r="A10" s="12">
        <v>3</v>
      </c>
      <c r="B10" s="20">
        <f t="shared" si="1"/>
        <v>11.501552810007571</v>
      </c>
      <c r="C10" s="20">
        <f t="shared" si="2"/>
        <v>13.665631459994952</v>
      </c>
      <c r="D10" s="20">
        <f t="shared" si="3"/>
        <v>15.003105620015141</v>
      </c>
      <c r="E10" s="20">
        <f t="shared" si="4"/>
        <v>17.167184270002522</v>
      </c>
      <c r="F10" s="13">
        <f t="shared" si="5"/>
        <v>168.34949512680132</v>
      </c>
      <c r="G10" s="13">
        <f t="shared" si="6"/>
        <v>167.7234956956126</v>
      </c>
      <c r="H10" s="13">
        <f t="shared" si="7"/>
        <v>167.61106601070983</v>
      </c>
      <c r="I10" s="13">
        <f t="shared" si="8"/>
        <v>167.73864818401339</v>
      </c>
      <c r="J10" s="13">
        <f t="shared" si="9"/>
        <v>5.6656314599949518</v>
      </c>
      <c r="O10" s="10"/>
      <c r="P10" s="7"/>
    </row>
    <row r="11" spans="1:16" ht="15" x14ac:dyDescent="0.25">
      <c r="A11" s="12">
        <v>4</v>
      </c>
      <c r="B11" s="20">
        <f t="shared" si="1"/>
        <v>13.665631459994952</v>
      </c>
      <c r="C11" s="20">
        <f t="shared" si="2"/>
        <v>15.003105620015141</v>
      </c>
      <c r="D11" s="20">
        <f t="shared" si="3"/>
        <v>15.829710109982333</v>
      </c>
      <c r="E11" s="20">
        <f t="shared" si="4"/>
        <v>17.167184270002522</v>
      </c>
      <c r="F11" s="13">
        <f t="shared" si="5"/>
        <v>167.7234956956126</v>
      </c>
      <c r="G11" s="13">
        <f t="shared" si="6"/>
        <v>167.61106601070983</v>
      </c>
      <c r="H11" s="13">
        <f t="shared" si="7"/>
        <v>167.62021072034381</v>
      </c>
      <c r="I11" s="13">
        <f t="shared" si="8"/>
        <v>167.73864818401339</v>
      </c>
      <c r="J11" s="13">
        <f t="shared" si="9"/>
        <v>3.5015528100075706</v>
      </c>
      <c r="O11" s="10"/>
      <c r="P11" s="7"/>
    </row>
    <row r="12" spans="1:16" ht="15" x14ac:dyDescent="0.25">
      <c r="A12" s="12">
        <v>5</v>
      </c>
      <c r="B12" s="20">
        <f t="shared" si="1"/>
        <v>13.665631459994952</v>
      </c>
      <c r="C12" s="20">
        <f t="shared" si="2"/>
        <v>14.492235949962144</v>
      </c>
      <c r="D12" s="20">
        <f t="shared" si="3"/>
        <v>15.003105620015141</v>
      </c>
      <c r="E12" s="20">
        <f t="shared" si="4"/>
        <v>15.829710109982333</v>
      </c>
      <c r="F12" s="13">
        <f t="shared" si="5"/>
        <v>167.7234956956126</v>
      </c>
      <c r="G12" s="13">
        <f t="shared" si="6"/>
        <v>167.63390769467293</v>
      </c>
      <c r="H12" s="13">
        <f t="shared" si="7"/>
        <v>167.61106601070983</v>
      </c>
      <c r="I12" s="13">
        <f t="shared" si="8"/>
        <v>167.62021072034381</v>
      </c>
      <c r="J12" s="13">
        <f t="shared" si="9"/>
        <v>2.1640786499873812</v>
      </c>
      <c r="O12" s="10"/>
      <c r="P12" s="7"/>
    </row>
    <row r="13" spans="1:16" ht="15" x14ac:dyDescent="0.25">
      <c r="A13" s="12">
        <v>6</v>
      </c>
      <c r="B13" s="20">
        <f t="shared" si="1"/>
        <v>14.492235949962144</v>
      </c>
      <c r="C13" s="20">
        <f t="shared" si="2"/>
        <v>15.003105620015141</v>
      </c>
      <c r="D13" s="20">
        <f t="shared" si="3"/>
        <v>15.318840439929337</v>
      </c>
      <c r="E13" s="20">
        <f t="shared" si="4"/>
        <v>15.829710109982333</v>
      </c>
      <c r="F13" s="13">
        <f t="shared" si="5"/>
        <v>167.63390769467293</v>
      </c>
      <c r="G13" s="13">
        <f t="shared" si="6"/>
        <v>167.61106601070983</v>
      </c>
      <c r="H13" s="13">
        <f t="shared" si="7"/>
        <v>167.60815946239796</v>
      </c>
      <c r="I13" s="13">
        <f t="shared" si="8"/>
        <v>167.62021072034381</v>
      </c>
      <c r="J13" s="13">
        <f t="shared" si="9"/>
        <v>1.3374741600201894</v>
      </c>
      <c r="O13" s="10"/>
      <c r="P13" s="7"/>
    </row>
    <row r="14" spans="1:16" ht="15" x14ac:dyDescent="0.25">
      <c r="A14" s="12">
        <v>7</v>
      </c>
      <c r="B14" s="20">
        <f t="shared" si="1"/>
        <v>15.003105620015141</v>
      </c>
      <c r="C14" s="20">
        <f t="shared" si="2"/>
        <v>15.318840439929337</v>
      </c>
      <c r="D14" s="20">
        <f t="shared" si="3"/>
        <v>15.513975290068137</v>
      </c>
      <c r="E14" s="20">
        <f t="shared" si="4"/>
        <v>15.829710109982333</v>
      </c>
      <c r="F14" s="13">
        <f t="shared" si="5"/>
        <v>167.61106601070983</v>
      </c>
      <c r="G14" s="13">
        <f t="shared" si="6"/>
        <v>167.60815946239796</v>
      </c>
      <c r="H14" s="13">
        <f t="shared" si="7"/>
        <v>167.61039064038951</v>
      </c>
      <c r="I14" s="13">
        <f t="shared" si="8"/>
        <v>167.62021072034381</v>
      </c>
      <c r="J14" s="13">
        <f t="shared" si="9"/>
        <v>0.82660448996719182</v>
      </c>
      <c r="O14" s="10"/>
      <c r="P14" s="7"/>
    </row>
    <row r="15" spans="1:16" ht="15" x14ac:dyDescent="0.25">
      <c r="A15" s="12">
        <v>8</v>
      </c>
      <c r="B15" s="20">
        <f t="shared" si="1"/>
        <v>15.003105620015141</v>
      </c>
      <c r="C15" s="20">
        <f t="shared" si="2"/>
        <v>15.198240470153941</v>
      </c>
      <c r="D15" s="20">
        <f t="shared" si="3"/>
        <v>15.318840439929337</v>
      </c>
      <c r="E15" s="20">
        <f t="shared" si="4"/>
        <v>15.513975290068137</v>
      </c>
      <c r="F15" s="13">
        <f t="shared" si="5"/>
        <v>167.61106601070983</v>
      </c>
      <c r="G15" s="13">
        <f t="shared" si="6"/>
        <v>167.60830113981351</v>
      </c>
      <c r="H15" s="13">
        <f t="shared" si="7"/>
        <v>167.60815946239796</v>
      </c>
      <c r="I15" s="13">
        <f t="shared" si="8"/>
        <v>167.61039064038951</v>
      </c>
      <c r="J15" s="13">
        <f t="shared" si="9"/>
        <v>0.51086967005299577</v>
      </c>
      <c r="L15" s="9"/>
      <c r="O15" s="10"/>
      <c r="P15" s="7"/>
    </row>
    <row r="16" spans="1:16" ht="15" x14ac:dyDescent="0.25">
      <c r="A16" s="12">
        <v>9</v>
      </c>
      <c r="B16" s="20">
        <f t="shared" si="1"/>
        <v>15.198240470153941</v>
      </c>
      <c r="C16" s="20">
        <f t="shared" si="2"/>
        <v>15.318840439929337</v>
      </c>
      <c r="D16" s="20">
        <f t="shared" si="3"/>
        <v>15.393375320292741</v>
      </c>
      <c r="E16" s="20">
        <f t="shared" si="4"/>
        <v>15.513975290068137</v>
      </c>
      <c r="F16" s="13">
        <f t="shared" si="5"/>
        <v>167.60830113981351</v>
      </c>
      <c r="G16" s="13">
        <f t="shared" si="6"/>
        <v>167.60815946239796</v>
      </c>
      <c r="H16" s="13">
        <f t="shared" si="7"/>
        <v>167.60865681875762</v>
      </c>
      <c r="I16" s="13">
        <f t="shared" si="8"/>
        <v>167.61039064038951</v>
      </c>
      <c r="J16" s="13">
        <f t="shared" si="9"/>
        <v>0.31573481991419605</v>
      </c>
      <c r="L16" s="9"/>
      <c r="O16" s="10"/>
      <c r="P16" s="7"/>
    </row>
    <row r="17" spans="1:16" ht="15" x14ac:dyDescent="0.25">
      <c r="A17" s="12">
        <v>10</v>
      </c>
      <c r="B17" s="20">
        <f t="shared" ref="B17:B19" si="10">IF(G16&lt;H16,B16,C16)</f>
        <v>15.198240470153941</v>
      </c>
      <c r="C17" s="20">
        <f t="shared" ref="C17:C19" si="11">IF(G16&lt;H16,D16-$A$4*(D16-B16),D16)</f>
        <v>15.272775350517346</v>
      </c>
      <c r="D17" s="20">
        <f t="shared" ref="D17:D19" si="12">IF(G16&lt;H16,C16,C16+$A$4*(E16-C16))</f>
        <v>15.318840439929337</v>
      </c>
      <c r="E17" s="20">
        <f t="shared" ref="E17:E19" si="13">IF(G16&lt;H16,D16,E16)</f>
        <v>15.393375320292741</v>
      </c>
      <c r="F17" s="13">
        <f t="shared" ref="F17:F19" si="14">0.75*B17+1089.4/(8-0.2*SQRT(400/B17))</f>
        <v>167.60830113981351</v>
      </c>
      <c r="G17" s="13">
        <f t="shared" ref="G17:G19" si="15">0.75*C17+1089.4/(8-0.2*SQRT(400/C17))</f>
        <v>167.60807451769585</v>
      </c>
      <c r="H17" s="13">
        <f t="shared" ref="H17:H19" si="16">0.75*D17+1089.4/(8-0.2*SQRT(400/D17))</f>
        <v>167.60815946239796</v>
      </c>
      <c r="I17" s="13">
        <f t="shared" ref="I17:I19" si="17">0.75*E17+1089.4/(8-0.2*SQRT(400/E17))</f>
        <v>167.60865681875762</v>
      </c>
      <c r="J17" s="13">
        <f t="shared" ref="J17:J19" si="18">E17-B17</f>
        <v>0.19513485013879972</v>
      </c>
      <c r="L17" s="9"/>
      <c r="O17" s="10"/>
      <c r="P17" s="7"/>
    </row>
    <row r="18" spans="1:16" ht="15" x14ac:dyDescent="0.25">
      <c r="A18" s="12">
        <v>11</v>
      </c>
      <c r="B18" s="20">
        <f t="shared" si="10"/>
        <v>15.198240470153941</v>
      </c>
      <c r="C18" s="20">
        <f t="shared" si="11"/>
        <v>15.244305559565932</v>
      </c>
      <c r="D18" s="20">
        <f t="shared" si="12"/>
        <v>15.272775350517346</v>
      </c>
      <c r="E18" s="20">
        <f t="shared" si="13"/>
        <v>15.318840439929337</v>
      </c>
      <c r="F18" s="13">
        <f t="shared" si="14"/>
        <v>167.60830113981351</v>
      </c>
      <c r="G18" s="13">
        <f t="shared" si="15"/>
        <v>167.60810772966542</v>
      </c>
      <c r="H18" s="13">
        <f t="shared" si="16"/>
        <v>167.60807451769585</v>
      </c>
      <c r="I18" s="13">
        <f t="shared" si="17"/>
        <v>167.60815946239796</v>
      </c>
      <c r="J18" s="13">
        <f t="shared" si="18"/>
        <v>0.12059996977539633</v>
      </c>
      <c r="L18" s="9"/>
      <c r="O18" s="10"/>
      <c r="P18" s="7"/>
    </row>
    <row r="19" spans="1:16" ht="15" x14ac:dyDescent="0.25">
      <c r="A19" s="12">
        <v>12</v>
      </c>
      <c r="B19" s="20">
        <f t="shared" si="10"/>
        <v>15.244305559565932</v>
      </c>
      <c r="C19" s="20">
        <f t="shared" si="11"/>
        <v>15.272775350517346</v>
      </c>
      <c r="D19" s="20">
        <f t="shared" si="12"/>
        <v>15.290370648977923</v>
      </c>
      <c r="E19" s="20">
        <f t="shared" si="13"/>
        <v>15.318840439929337</v>
      </c>
      <c r="F19" s="13">
        <f t="shared" si="14"/>
        <v>167.60810772966542</v>
      </c>
      <c r="G19" s="13">
        <f t="shared" si="15"/>
        <v>167.60807451769585</v>
      </c>
      <c r="H19" s="13">
        <f t="shared" si="16"/>
        <v>167.60808678495601</v>
      </c>
      <c r="I19" s="13">
        <f t="shared" si="17"/>
        <v>167.60815946239796</v>
      </c>
      <c r="J19" s="13">
        <f t="shared" si="18"/>
        <v>7.4534880363405165E-2</v>
      </c>
      <c r="L19" s="9"/>
      <c r="O19" s="10"/>
      <c r="P19" s="7"/>
    </row>
    <row r="20" spans="1:16" ht="15" x14ac:dyDescent="0.25">
      <c r="A20" s="12">
        <v>13</v>
      </c>
      <c r="B20" s="20">
        <f t="shared" ref="B20:B22" si="19">IF(G19&lt;H19,B19,C19)</f>
        <v>15.244305559565932</v>
      </c>
      <c r="C20" s="20">
        <f t="shared" ref="C20:C22" si="20">IF(G19&lt;H19,D19-$A$4*(D19-B19),D19)</f>
        <v>15.261900858026509</v>
      </c>
      <c r="D20" s="20">
        <f t="shared" ref="D20:D22" si="21">IF(G19&lt;H19,C19,C19+$A$4*(E19-C19))</f>
        <v>15.272775350517346</v>
      </c>
      <c r="E20" s="20">
        <f t="shared" ref="E20:E22" si="22">IF(G19&lt;H19,D19,E19)</f>
        <v>15.290370648977923</v>
      </c>
      <c r="F20" s="13">
        <f t="shared" ref="F20:F22" si="23">0.75*B20+1089.4/(8-0.2*SQRT(400/B20))</f>
        <v>167.60810772966542</v>
      </c>
      <c r="G20" s="13">
        <f t="shared" ref="G20:G22" si="24">0.75*C20+1089.4/(8-0.2*SQRT(400/C20))</f>
        <v>167.60807944908495</v>
      </c>
      <c r="H20" s="13">
        <f t="shared" ref="H20:H22" si="25">0.75*D20+1089.4/(8-0.2*SQRT(400/D20))</f>
        <v>167.60807451769585</v>
      </c>
      <c r="I20" s="13">
        <f t="shared" ref="I20:I22" si="26">0.75*E20+1089.4/(8-0.2*SQRT(400/E20))</f>
        <v>167.60808678495601</v>
      </c>
      <c r="J20" s="13">
        <f t="shared" ref="J20:J22" si="27">E20-B20</f>
        <v>4.6065089411991167E-2</v>
      </c>
      <c r="L20" s="9"/>
      <c r="O20" s="10"/>
      <c r="P20" s="7"/>
    </row>
    <row r="21" spans="1:16" ht="15" x14ac:dyDescent="0.25">
      <c r="A21" s="12">
        <v>14</v>
      </c>
      <c r="B21" s="20">
        <f t="shared" si="19"/>
        <v>15.261900858026509</v>
      </c>
      <c r="C21" s="20">
        <f t="shared" si="20"/>
        <v>15.272775350517346</v>
      </c>
      <c r="D21" s="20">
        <f t="shared" si="21"/>
        <v>15.279496156487088</v>
      </c>
      <c r="E21" s="20">
        <f t="shared" si="22"/>
        <v>15.290370648977923</v>
      </c>
      <c r="F21" s="13">
        <f t="shared" si="23"/>
        <v>167.60807944908495</v>
      </c>
      <c r="G21" s="13">
        <f t="shared" si="24"/>
        <v>167.60807451769585</v>
      </c>
      <c r="H21" s="13">
        <f t="shared" si="25"/>
        <v>167.60807625251908</v>
      </c>
      <c r="I21" s="13">
        <f t="shared" si="26"/>
        <v>167.60808678495601</v>
      </c>
      <c r="J21" s="13">
        <f t="shared" si="27"/>
        <v>2.8469790951413998E-2</v>
      </c>
      <c r="L21" s="9"/>
      <c r="O21" s="10"/>
      <c r="P21" s="7"/>
    </row>
    <row r="22" spans="1:16" ht="15" x14ac:dyDescent="0.25">
      <c r="A22" s="12">
        <v>15</v>
      </c>
      <c r="B22" s="20">
        <f t="shared" si="19"/>
        <v>15.261900858026509</v>
      </c>
      <c r="C22" s="20">
        <f t="shared" si="20"/>
        <v>15.268621663996251</v>
      </c>
      <c r="D22" s="20">
        <f t="shared" si="21"/>
        <v>15.272775350517346</v>
      </c>
      <c r="E22" s="20">
        <f t="shared" si="22"/>
        <v>15.279496156487088</v>
      </c>
      <c r="F22" s="13">
        <f t="shared" si="23"/>
        <v>167.60807944908495</v>
      </c>
      <c r="G22" s="13">
        <f t="shared" si="24"/>
        <v>167.60807527157957</v>
      </c>
      <c r="H22" s="13">
        <f t="shared" si="25"/>
        <v>167.60807451769585</v>
      </c>
      <c r="I22" s="13">
        <f t="shared" si="26"/>
        <v>167.60807625251908</v>
      </c>
      <c r="J22" s="13">
        <f t="shared" si="27"/>
        <v>1.7595298460578945E-2</v>
      </c>
      <c r="L22" s="9"/>
      <c r="O22" s="10"/>
      <c r="P22" s="7"/>
    </row>
    <row r="23" spans="1:16" x14ac:dyDescent="0.2">
      <c r="A23" s="2"/>
      <c r="B23" s="3"/>
      <c r="C23" s="3"/>
      <c r="D23" s="3"/>
      <c r="E23" s="3"/>
      <c r="F23" s="3"/>
      <c r="G23" s="3"/>
      <c r="H23" s="3"/>
      <c r="O23" s="10"/>
      <c r="P23" s="7"/>
    </row>
    <row r="24" spans="1:16" x14ac:dyDescent="0.2">
      <c r="A24" s="2"/>
      <c r="B24" s="3"/>
      <c r="C24" s="3"/>
      <c r="D24" s="3"/>
      <c r="E24" s="3"/>
      <c r="F24" s="3"/>
      <c r="G24" s="3"/>
      <c r="H24" s="3"/>
      <c r="O24" s="10"/>
      <c r="P24" s="7"/>
    </row>
    <row r="25" spans="1:16" x14ac:dyDescent="0.2">
      <c r="A25" s="2"/>
      <c r="B25" s="3"/>
      <c r="C25" s="3"/>
      <c r="D25" s="4"/>
      <c r="O25" s="10"/>
      <c r="P25" s="7"/>
    </row>
    <row r="26" spans="1:16" x14ac:dyDescent="0.2">
      <c r="O26" s="10"/>
      <c r="P26" s="7"/>
    </row>
    <row r="27" spans="1:16" x14ac:dyDescent="0.2">
      <c r="O27" s="10"/>
      <c r="P27" s="7"/>
    </row>
    <row r="28" spans="1:16" x14ac:dyDescent="0.2">
      <c r="O28" s="10"/>
      <c r="P28" s="7"/>
    </row>
    <row r="29" spans="1:16" x14ac:dyDescent="0.2">
      <c r="O29" s="10"/>
      <c r="P29" s="7"/>
    </row>
    <row r="30" spans="1:16" x14ac:dyDescent="0.2">
      <c r="O30" s="10"/>
      <c r="P30" s="7"/>
    </row>
    <row r="31" spans="1:16" x14ac:dyDescent="0.2">
      <c r="O31" s="10"/>
      <c r="P31" s="7"/>
    </row>
    <row r="32" spans="1:16" x14ac:dyDescent="0.2">
      <c r="O32" s="10"/>
      <c r="P32" s="7"/>
    </row>
    <row r="33" spans="15:16" x14ac:dyDescent="0.2">
      <c r="O33" s="10"/>
      <c r="P33" s="7"/>
    </row>
    <row r="34" spans="15:16" x14ac:dyDescent="0.2">
      <c r="O34" s="10"/>
      <c r="P34" s="7"/>
    </row>
    <row r="35" spans="15:16" x14ac:dyDescent="0.2">
      <c r="O35" s="10"/>
      <c r="P35" s="7"/>
    </row>
    <row r="36" spans="15:16" x14ac:dyDescent="0.2">
      <c r="O36" s="10"/>
      <c r="P36" s="7"/>
    </row>
    <row r="37" spans="15:16" x14ac:dyDescent="0.2">
      <c r="O37" s="10"/>
      <c r="P37" s="7"/>
    </row>
    <row r="38" spans="15:16" x14ac:dyDescent="0.2">
      <c r="O38" s="10"/>
      <c r="P38" s="7"/>
    </row>
    <row r="39" spans="15:16" x14ac:dyDescent="0.2">
      <c r="O39" s="10"/>
      <c r="P39" s="7"/>
    </row>
    <row r="40" spans="15:16" x14ac:dyDescent="0.2">
      <c r="O40" s="10"/>
      <c r="P40" s="7"/>
    </row>
    <row r="41" spans="15:16" x14ac:dyDescent="0.2">
      <c r="O41" s="10"/>
      <c r="P41" s="7"/>
    </row>
    <row r="42" spans="15:16" x14ac:dyDescent="0.2">
      <c r="O42" s="10"/>
      <c r="P42" s="7"/>
    </row>
    <row r="43" spans="15:16" x14ac:dyDescent="0.2">
      <c r="O43" s="10"/>
      <c r="P43" s="7"/>
    </row>
    <row r="44" spans="15:16" x14ac:dyDescent="0.2">
      <c r="O44" s="10"/>
      <c r="P44" s="7"/>
    </row>
    <row r="45" spans="15:16" x14ac:dyDescent="0.2">
      <c r="O45" s="10"/>
      <c r="P45" s="7"/>
    </row>
    <row r="46" spans="15:16" x14ac:dyDescent="0.2">
      <c r="O46" s="10"/>
      <c r="P46" s="7"/>
    </row>
    <row r="47" spans="15:16" x14ac:dyDescent="0.2">
      <c r="O47" s="10"/>
      <c r="P47" s="7"/>
    </row>
    <row r="48" spans="15:16" x14ac:dyDescent="0.2">
      <c r="O48" s="10"/>
      <c r="P48" s="7"/>
    </row>
    <row r="49" spans="15:16" x14ac:dyDescent="0.2">
      <c r="O49" s="10"/>
      <c r="P49" s="7"/>
    </row>
    <row r="50" spans="15:16" x14ac:dyDescent="0.2">
      <c r="O50" s="10"/>
      <c r="P50" s="7"/>
    </row>
    <row r="51" spans="15:16" x14ac:dyDescent="0.2">
      <c r="O51" s="10"/>
      <c r="P51" s="7"/>
    </row>
    <row r="52" spans="15:16" x14ac:dyDescent="0.2">
      <c r="O52" s="10"/>
      <c r="P52" s="7"/>
    </row>
    <row r="53" spans="15:16" x14ac:dyDescent="0.2">
      <c r="O53" s="10"/>
      <c r="P53" s="7"/>
    </row>
    <row r="54" spans="15:16" x14ac:dyDescent="0.2">
      <c r="O54" s="10"/>
      <c r="P54" s="7"/>
    </row>
    <row r="55" spans="15:16" x14ac:dyDescent="0.2">
      <c r="O55" s="10"/>
      <c r="P55" s="7"/>
    </row>
    <row r="56" spans="15:16" x14ac:dyDescent="0.2">
      <c r="O56" s="10"/>
      <c r="P56" s="7"/>
    </row>
    <row r="57" spans="15:16" x14ac:dyDescent="0.2">
      <c r="O57" s="10"/>
      <c r="P57" s="7"/>
    </row>
    <row r="58" spans="15:16" x14ac:dyDescent="0.2">
      <c r="O58" s="10"/>
      <c r="P58" s="7"/>
    </row>
    <row r="59" spans="15:16" x14ac:dyDescent="0.2">
      <c r="O59" s="10"/>
      <c r="P59" s="7"/>
    </row>
    <row r="60" spans="15:16" x14ac:dyDescent="0.2">
      <c r="O60" s="10"/>
      <c r="P60" s="7"/>
    </row>
    <row r="61" spans="15:16" x14ac:dyDescent="0.2">
      <c r="O61" s="10"/>
      <c r="P61" s="7"/>
    </row>
    <row r="62" spans="15:16" x14ac:dyDescent="0.2">
      <c r="O62" s="10"/>
      <c r="P62" s="7"/>
    </row>
    <row r="63" spans="15:16" x14ac:dyDescent="0.2">
      <c r="O63" s="10"/>
      <c r="P63" s="7"/>
    </row>
    <row r="64" spans="15:16" x14ac:dyDescent="0.2">
      <c r="O64" s="10"/>
      <c r="P64" s="7"/>
    </row>
    <row r="65" spans="15:16" x14ac:dyDescent="0.2">
      <c r="O65" s="10"/>
      <c r="P65" s="7"/>
    </row>
    <row r="66" spans="15:16" x14ac:dyDescent="0.2">
      <c r="O66" s="10"/>
      <c r="P66" s="7"/>
    </row>
    <row r="67" spans="15:16" x14ac:dyDescent="0.2">
      <c r="O67" s="10"/>
      <c r="P67" s="7"/>
    </row>
    <row r="68" spans="15:16" x14ac:dyDescent="0.2">
      <c r="O68" s="10"/>
      <c r="P68" s="7"/>
    </row>
    <row r="69" spans="15:16" x14ac:dyDescent="0.2">
      <c r="O69" s="10"/>
      <c r="P69" s="7"/>
    </row>
    <row r="70" spans="15:16" x14ac:dyDescent="0.2">
      <c r="O70" s="10"/>
      <c r="P70" s="7"/>
    </row>
    <row r="71" spans="15:16" x14ac:dyDescent="0.2">
      <c r="O71" s="10"/>
      <c r="P71" s="7"/>
    </row>
    <row r="72" spans="15:16" x14ac:dyDescent="0.2">
      <c r="O72" s="10"/>
      <c r="P72" s="7"/>
    </row>
    <row r="73" spans="15:16" x14ac:dyDescent="0.2">
      <c r="O73" s="10"/>
      <c r="P73" s="7"/>
    </row>
    <row r="74" spans="15:16" x14ac:dyDescent="0.2">
      <c r="O74" s="10"/>
      <c r="P74" s="7"/>
    </row>
    <row r="75" spans="15:16" x14ac:dyDescent="0.2">
      <c r="O75" s="10"/>
      <c r="P75" s="7"/>
    </row>
    <row r="76" spans="15:16" x14ac:dyDescent="0.2">
      <c r="O76" s="10"/>
      <c r="P76" s="7"/>
    </row>
    <row r="77" spans="15:16" x14ac:dyDescent="0.2">
      <c r="O77" s="10"/>
      <c r="P77" s="7"/>
    </row>
    <row r="78" spans="15:16" x14ac:dyDescent="0.2">
      <c r="O78" s="10"/>
      <c r="P78" s="7"/>
    </row>
    <row r="79" spans="15:16" x14ac:dyDescent="0.2">
      <c r="O79" s="10"/>
      <c r="P79" s="7"/>
    </row>
    <row r="80" spans="15:16" x14ac:dyDescent="0.2">
      <c r="O80" s="10"/>
      <c r="P80" s="7"/>
    </row>
    <row r="81" spans="15:16" x14ac:dyDescent="0.2">
      <c r="O81" s="10"/>
      <c r="P81" s="7"/>
    </row>
    <row r="82" spans="15:16" x14ac:dyDescent="0.2">
      <c r="O82" s="10"/>
      <c r="P82" s="7"/>
    </row>
    <row r="83" spans="15:16" x14ac:dyDescent="0.2">
      <c r="O83" s="10"/>
      <c r="P83" s="7"/>
    </row>
    <row r="84" spans="15:16" x14ac:dyDescent="0.2">
      <c r="O84" s="10"/>
      <c r="P84" s="7"/>
    </row>
    <row r="85" spans="15:16" x14ac:dyDescent="0.2">
      <c r="O85" s="10"/>
      <c r="P85" s="7"/>
    </row>
    <row r="86" spans="15:16" x14ac:dyDescent="0.2">
      <c r="O86" s="10"/>
      <c r="P86" s="7"/>
    </row>
    <row r="87" spans="15:16" x14ac:dyDescent="0.2">
      <c r="O87" s="10"/>
      <c r="P87" s="7"/>
    </row>
    <row r="88" spans="15:16" x14ac:dyDescent="0.2">
      <c r="O88" s="10"/>
      <c r="P88" s="7"/>
    </row>
    <row r="89" spans="15:16" x14ac:dyDescent="0.2">
      <c r="O89" s="10"/>
      <c r="P89" s="7"/>
    </row>
    <row r="90" spans="15:16" x14ac:dyDescent="0.2">
      <c r="O90" s="10"/>
      <c r="P90" s="7"/>
    </row>
    <row r="91" spans="15:16" x14ac:dyDescent="0.2">
      <c r="O91" s="10"/>
      <c r="P91" s="7"/>
    </row>
    <row r="92" spans="15:16" x14ac:dyDescent="0.2">
      <c r="O92" s="10"/>
      <c r="P92" s="7"/>
    </row>
    <row r="93" spans="15:16" x14ac:dyDescent="0.2">
      <c r="O93" s="10"/>
      <c r="P93" s="7"/>
    </row>
    <row r="94" spans="15:16" x14ac:dyDescent="0.2">
      <c r="O94" s="10"/>
      <c r="P94" s="7"/>
    </row>
    <row r="95" spans="15:16" x14ac:dyDescent="0.2">
      <c r="O95" s="10"/>
      <c r="P95" s="7"/>
    </row>
    <row r="96" spans="15:16" x14ac:dyDescent="0.2">
      <c r="O96" s="10"/>
      <c r="P96" s="7"/>
    </row>
    <row r="97" spans="15:16" x14ac:dyDescent="0.2">
      <c r="O97" s="10"/>
      <c r="P97" s="7"/>
    </row>
    <row r="98" spans="15:16" x14ac:dyDescent="0.2">
      <c r="O98" s="10"/>
      <c r="P98" s="7"/>
    </row>
    <row r="99" spans="15:16" x14ac:dyDescent="0.2">
      <c r="O99" s="10"/>
      <c r="P99" s="7"/>
    </row>
    <row r="100" spans="15:16" x14ac:dyDescent="0.2">
      <c r="O100" s="10"/>
      <c r="P100" s="7"/>
    </row>
    <row r="101" spans="15:16" x14ac:dyDescent="0.2">
      <c r="O101" s="10"/>
      <c r="P101" s="7"/>
    </row>
    <row r="102" spans="15:16" x14ac:dyDescent="0.2">
      <c r="O102" s="10"/>
      <c r="P102" s="7"/>
    </row>
    <row r="103" spans="15:16" x14ac:dyDescent="0.2">
      <c r="O103" s="10"/>
      <c r="P103" s="7"/>
    </row>
    <row r="104" spans="15:16" x14ac:dyDescent="0.2">
      <c r="O104" s="10"/>
      <c r="P104" s="7"/>
    </row>
    <row r="105" spans="15:16" x14ac:dyDescent="0.2">
      <c r="O105" s="10"/>
      <c r="P105" s="7"/>
    </row>
    <row r="106" spans="15:16" x14ac:dyDescent="0.2">
      <c r="O106" s="10"/>
      <c r="P106" s="7"/>
    </row>
    <row r="107" spans="15:16" x14ac:dyDescent="0.2">
      <c r="O107" s="10"/>
      <c r="P107" s="7"/>
    </row>
    <row r="108" spans="15:16" x14ac:dyDescent="0.2">
      <c r="O108" s="10"/>
      <c r="P108" s="7"/>
    </row>
    <row r="109" spans="15:16" x14ac:dyDescent="0.2">
      <c r="O109" s="10"/>
      <c r="P109" s="7"/>
    </row>
    <row r="110" spans="15:16" x14ac:dyDescent="0.2">
      <c r="O110" s="10"/>
      <c r="P110" s="7"/>
    </row>
    <row r="111" spans="15:16" x14ac:dyDescent="0.2">
      <c r="O111" s="10"/>
      <c r="P111" s="7"/>
    </row>
    <row r="112" spans="15:16" x14ac:dyDescent="0.2">
      <c r="O112" s="10"/>
      <c r="P112" s="7"/>
    </row>
    <row r="113" spans="15:16" x14ac:dyDescent="0.2">
      <c r="O113" s="10"/>
      <c r="P113" s="7"/>
    </row>
    <row r="114" spans="15:16" x14ac:dyDescent="0.2">
      <c r="O114" s="10"/>
      <c r="P114" s="7"/>
    </row>
    <row r="115" spans="15:16" x14ac:dyDescent="0.2">
      <c r="O115" s="10"/>
      <c r="P115" s="7"/>
    </row>
    <row r="116" spans="15:16" x14ac:dyDescent="0.2">
      <c r="O116" s="10"/>
      <c r="P116" s="7"/>
    </row>
    <row r="117" spans="15:16" x14ac:dyDescent="0.2">
      <c r="O117" s="10"/>
      <c r="P117" s="7"/>
    </row>
    <row r="118" spans="15:16" x14ac:dyDescent="0.2">
      <c r="O118" s="10"/>
      <c r="P118" s="7"/>
    </row>
    <row r="119" spans="15:16" x14ac:dyDescent="0.2">
      <c r="O119" s="10"/>
      <c r="P119" s="7"/>
    </row>
    <row r="120" spans="15:16" x14ac:dyDescent="0.2">
      <c r="O120" s="10"/>
      <c r="P120" s="7"/>
    </row>
    <row r="121" spans="15:16" x14ac:dyDescent="0.2">
      <c r="O121" s="10"/>
      <c r="P121" s="7"/>
    </row>
    <row r="122" spans="15:16" x14ac:dyDescent="0.2">
      <c r="O122" s="10"/>
      <c r="P122" s="7"/>
    </row>
    <row r="123" spans="15:16" x14ac:dyDescent="0.2">
      <c r="O123" s="10"/>
      <c r="P123" s="7"/>
    </row>
    <row r="124" spans="15:16" x14ac:dyDescent="0.2">
      <c r="O124" s="10"/>
      <c r="P124" s="7"/>
    </row>
    <row r="125" spans="15:16" x14ac:dyDescent="0.2">
      <c r="O125" s="10"/>
      <c r="P125" s="7"/>
    </row>
    <row r="126" spans="15:16" x14ac:dyDescent="0.2">
      <c r="O126" s="10"/>
      <c r="P126" s="7"/>
    </row>
    <row r="127" spans="15:16" x14ac:dyDescent="0.2">
      <c r="O127" s="10"/>
      <c r="P127" s="7"/>
    </row>
    <row r="128" spans="15:16" x14ac:dyDescent="0.2">
      <c r="O128" s="10"/>
      <c r="P128" s="7"/>
    </row>
    <row r="129" spans="15:16" x14ac:dyDescent="0.2">
      <c r="O129" s="10"/>
      <c r="P129" s="7"/>
    </row>
    <row r="130" spans="15:16" x14ac:dyDescent="0.2">
      <c r="O130" s="10"/>
      <c r="P130" s="7"/>
    </row>
    <row r="131" spans="15:16" x14ac:dyDescent="0.2">
      <c r="O131" s="10"/>
      <c r="P131" s="7"/>
    </row>
    <row r="132" spans="15:16" x14ac:dyDescent="0.2">
      <c r="O132" s="10"/>
      <c r="P132" s="7"/>
    </row>
    <row r="133" spans="15:16" x14ac:dyDescent="0.2">
      <c r="O133" s="10"/>
      <c r="P133" s="7"/>
    </row>
    <row r="134" spans="15:16" x14ac:dyDescent="0.2">
      <c r="O134" s="10"/>
      <c r="P134" s="7"/>
    </row>
    <row r="135" spans="15:16" x14ac:dyDescent="0.2">
      <c r="O135" s="10"/>
      <c r="P135" s="7"/>
    </row>
    <row r="136" spans="15:16" x14ac:dyDescent="0.2">
      <c r="O136" s="10"/>
      <c r="P136" s="7"/>
    </row>
    <row r="137" spans="15:16" x14ac:dyDescent="0.2">
      <c r="O137" s="10"/>
      <c r="P137" s="7"/>
    </row>
    <row r="138" spans="15:16" x14ac:dyDescent="0.2">
      <c r="O138" s="10"/>
      <c r="P138" s="7"/>
    </row>
    <row r="139" spans="15:16" x14ac:dyDescent="0.2">
      <c r="O139" s="10"/>
      <c r="P139" s="7"/>
    </row>
    <row r="140" spans="15:16" x14ac:dyDescent="0.2">
      <c r="O140" s="10"/>
      <c r="P140" s="7"/>
    </row>
    <row r="141" spans="15:16" x14ac:dyDescent="0.2">
      <c r="O141" s="10"/>
      <c r="P141" s="7"/>
    </row>
    <row r="142" spans="15:16" x14ac:dyDescent="0.2">
      <c r="O142" s="10"/>
      <c r="P142" s="7"/>
    </row>
    <row r="143" spans="15:16" x14ac:dyDescent="0.2">
      <c r="O143" s="10"/>
      <c r="P143" s="7"/>
    </row>
    <row r="144" spans="15:16" x14ac:dyDescent="0.2">
      <c r="O144" s="10"/>
      <c r="P144" s="7"/>
    </row>
    <row r="145" spans="15:16" x14ac:dyDescent="0.2">
      <c r="O145" s="10"/>
      <c r="P145" s="7"/>
    </row>
    <row r="146" spans="15:16" x14ac:dyDescent="0.2">
      <c r="O146" s="10"/>
      <c r="P146" s="7"/>
    </row>
    <row r="147" spans="15:16" x14ac:dyDescent="0.2">
      <c r="O147" s="10"/>
      <c r="P147" s="7"/>
    </row>
    <row r="148" spans="15:16" x14ac:dyDescent="0.2">
      <c r="O148" s="10"/>
      <c r="P148" s="7"/>
    </row>
    <row r="149" spans="15:16" x14ac:dyDescent="0.2">
      <c r="O149" s="10"/>
      <c r="P149" s="7"/>
    </row>
    <row r="150" spans="15:16" x14ac:dyDescent="0.2">
      <c r="O150" s="10"/>
      <c r="P150" s="7"/>
    </row>
    <row r="151" spans="15:16" x14ac:dyDescent="0.2">
      <c r="O151" s="10"/>
      <c r="P151" s="7"/>
    </row>
    <row r="152" spans="15:16" x14ac:dyDescent="0.2">
      <c r="O152" s="10"/>
      <c r="P152" s="7"/>
    </row>
    <row r="153" spans="15:16" x14ac:dyDescent="0.2">
      <c r="O153" s="10"/>
      <c r="P153" s="7"/>
    </row>
    <row r="154" spans="15:16" x14ac:dyDescent="0.2">
      <c r="O154" s="10"/>
      <c r="P154" s="7"/>
    </row>
    <row r="155" spans="15:16" x14ac:dyDescent="0.2">
      <c r="O155" s="10"/>
      <c r="P155" s="7"/>
    </row>
    <row r="156" spans="15:16" x14ac:dyDescent="0.2">
      <c r="O156" s="10"/>
      <c r="P156" s="7"/>
    </row>
    <row r="157" spans="15:16" x14ac:dyDescent="0.2">
      <c r="O157" s="10"/>
      <c r="P157" s="7"/>
    </row>
    <row r="158" spans="15:16" x14ac:dyDescent="0.2">
      <c r="O158" s="10"/>
      <c r="P158" s="7"/>
    </row>
    <row r="159" spans="15:16" x14ac:dyDescent="0.2">
      <c r="O159" s="10"/>
      <c r="P159" s="7"/>
    </row>
    <row r="160" spans="15:16" x14ac:dyDescent="0.2">
      <c r="O160" s="10"/>
      <c r="P160" s="7"/>
    </row>
    <row r="161" spans="15:16" x14ac:dyDescent="0.2">
      <c r="O161" s="10"/>
      <c r="P161" s="7"/>
    </row>
    <row r="162" spans="15:16" x14ac:dyDescent="0.2">
      <c r="O162" s="10"/>
      <c r="P162" s="7"/>
    </row>
    <row r="163" spans="15:16" x14ac:dyDescent="0.2">
      <c r="O163" s="10"/>
      <c r="P163" s="7"/>
    </row>
    <row r="164" spans="15:16" x14ac:dyDescent="0.2">
      <c r="O164" s="10"/>
      <c r="P164" s="7"/>
    </row>
    <row r="165" spans="15:16" x14ac:dyDescent="0.2">
      <c r="O165" s="10"/>
      <c r="P165" s="7"/>
    </row>
    <row r="166" spans="15:16" x14ac:dyDescent="0.2">
      <c r="O166" s="10"/>
      <c r="P166" s="7"/>
    </row>
    <row r="167" spans="15:16" x14ac:dyDescent="0.2">
      <c r="O167" s="10"/>
      <c r="P167" s="7"/>
    </row>
    <row r="168" spans="15:16" x14ac:dyDescent="0.2">
      <c r="O168" s="10"/>
      <c r="P168" s="7"/>
    </row>
    <row r="169" spans="15:16" x14ac:dyDescent="0.2">
      <c r="O169" s="10"/>
      <c r="P169" s="7"/>
    </row>
    <row r="170" spans="15:16" x14ac:dyDescent="0.2">
      <c r="O170" s="10"/>
      <c r="P170" s="7"/>
    </row>
    <row r="171" spans="15:16" x14ac:dyDescent="0.2">
      <c r="O171" s="10"/>
      <c r="P171" s="7"/>
    </row>
    <row r="172" spans="15:16" x14ac:dyDescent="0.2">
      <c r="O172" s="10"/>
      <c r="P172" s="7"/>
    </row>
    <row r="173" spans="15:16" x14ac:dyDescent="0.2">
      <c r="O173" s="10"/>
      <c r="P173" s="7"/>
    </row>
    <row r="174" spans="15:16" x14ac:dyDescent="0.2">
      <c r="O174" s="10"/>
      <c r="P174" s="7"/>
    </row>
    <row r="175" spans="15:16" x14ac:dyDescent="0.2">
      <c r="O175" s="10"/>
      <c r="P175" s="7"/>
    </row>
    <row r="176" spans="15:16" x14ac:dyDescent="0.2">
      <c r="O176" s="10"/>
      <c r="P176" s="7"/>
    </row>
    <row r="177" spans="15:16" x14ac:dyDescent="0.2">
      <c r="O177" s="10"/>
      <c r="P177" s="7"/>
    </row>
    <row r="178" spans="15:16" x14ac:dyDescent="0.2">
      <c r="O178" s="10"/>
      <c r="P178" s="7"/>
    </row>
    <row r="179" spans="15:16" x14ac:dyDescent="0.2">
      <c r="O179" s="10"/>
      <c r="P179" s="7"/>
    </row>
    <row r="180" spans="15:16" x14ac:dyDescent="0.2">
      <c r="O180" s="10"/>
      <c r="P180" s="7"/>
    </row>
    <row r="181" spans="15:16" x14ac:dyDescent="0.2">
      <c r="O181" s="10"/>
      <c r="P181" s="7"/>
    </row>
    <row r="182" spans="15:16" x14ac:dyDescent="0.2">
      <c r="O182" s="10"/>
      <c r="P182" s="7"/>
    </row>
    <row r="183" spans="15:16" x14ac:dyDescent="0.2">
      <c r="O183" s="10"/>
      <c r="P183" s="7"/>
    </row>
    <row r="184" spans="15:16" x14ac:dyDescent="0.2">
      <c r="O184" s="10"/>
      <c r="P184" s="7"/>
    </row>
    <row r="185" spans="15:16" x14ac:dyDescent="0.2">
      <c r="O185" s="10"/>
      <c r="P185" s="7"/>
    </row>
    <row r="186" spans="15:16" x14ac:dyDescent="0.2">
      <c r="O186" s="10"/>
      <c r="P186" s="7"/>
    </row>
    <row r="187" spans="15:16" x14ac:dyDescent="0.2">
      <c r="O187" s="10"/>
      <c r="P187" s="7"/>
    </row>
    <row r="188" spans="15:16" x14ac:dyDescent="0.2">
      <c r="O188" s="10"/>
      <c r="P188" s="7"/>
    </row>
    <row r="189" spans="15:16" x14ac:dyDescent="0.2">
      <c r="O189" s="10"/>
      <c r="P189" s="7"/>
    </row>
    <row r="190" spans="15:16" x14ac:dyDescent="0.2">
      <c r="O190" s="10"/>
      <c r="P190" s="7"/>
    </row>
    <row r="191" spans="15:16" x14ac:dyDescent="0.2">
      <c r="O191" s="10"/>
      <c r="P191" s="7"/>
    </row>
    <row r="192" spans="15:16" x14ac:dyDescent="0.2">
      <c r="O192" s="10"/>
      <c r="P192" s="7"/>
    </row>
    <row r="193" spans="15:16" x14ac:dyDescent="0.2">
      <c r="O193" s="10"/>
      <c r="P193" s="7"/>
    </row>
    <row r="194" spans="15:16" x14ac:dyDescent="0.2">
      <c r="O194" s="10"/>
      <c r="P194" s="7"/>
    </row>
    <row r="195" spans="15:16" x14ac:dyDescent="0.2">
      <c r="O195" s="10"/>
      <c r="P195" s="7"/>
    </row>
    <row r="196" spans="15:16" x14ac:dyDescent="0.2">
      <c r="O196" s="10"/>
      <c r="P196" s="7"/>
    </row>
    <row r="197" spans="15:16" x14ac:dyDescent="0.2">
      <c r="O197" s="10"/>
      <c r="P197" s="7"/>
    </row>
    <row r="198" spans="15:16" x14ac:dyDescent="0.2">
      <c r="O198" s="10"/>
      <c r="P198" s="7"/>
    </row>
    <row r="199" spans="15:16" x14ac:dyDescent="0.2">
      <c r="O199" s="10"/>
      <c r="P199" s="7"/>
    </row>
    <row r="200" spans="15:16" x14ac:dyDescent="0.2">
      <c r="O200" s="10"/>
      <c r="P200" s="7"/>
    </row>
    <row r="201" spans="15:16" x14ac:dyDescent="0.2">
      <c r="O201" s="10"/>
      <c r="P201" s="7"/>
    </row>
    <row r="202" spans="15:16" x14ac:dyDescent="0.2">
      <c r="O202" s="10"/>
      <c r="P202" s="7"/>
    </row>
    <row r="203" spans="15:16" x14ac:dyDescent="0.2">
      <c r="O203" s="10"/>
      <c r="P203" s="7"/>
    </row>
    <row r="204" spans="15:16" x14ac:dyDescent="0.2">
      <c r="O204" s="10"/>
      <c r="P204" s="7"/>
    </row>
    <row r="205" spans="15:16" x14ac:dyDescent="0.2">
      <c r="O205" s="10"/>
      <c r="P205" s="7"/>
    </row>
    <row r="206" spans="15:16" x14ac:dyDescent="0.2">
      <c r="O206" s="10"/>
      <c r="P206" s="7"/>
    </row>
    <row r="207" spans="15:16" x14ac:dyDescent="0.2">
      <c r="O207" s="10"/>
      <c r="P207" s="7"/>
    </row>
    <row r="208" spans="15:16" x14ac:dyDescent="0.2">
      <c r="O208" s="10"/>
      <c r="P208" s="7"/>
    </row>
    <row r="209" spans="15:16" x14ac:dyDescent="0.2">
      <c r="O209" s="10"/>
      <c r="P209" s="7"/>
    </row>
    <row r="210" spans="15:16" x14ac:dyDescent="0.2">
      <c r="O210" s="10"/>
      <c r="P210" s="7"/>
    </row>
    <row r="211" spans="15:16" x14ac:dyDescent="0.2">
      <c r="O211" s="10"/>
      <c r="P211" s="7"/>
    </row>
    <row r="212" spans="15:16" x14ac:dyDescent="0.2">
      <c r="O212" s="10"/>
      <c r="P212" s="7"/>
    </row>
    <row r="213" spans="15:16" x14ac:dyDescent="0.2">
      <c r="O213" s="10"/>
      <c r="P213" s="7"/>
    </row>
    <row r="214" spans="15:16" x14ac:dyDescent="0.2">
      <c r="O214" s="10"/>
      <c r="P214" s="7"/>
    </row>
    <row r="215" spans="15:16" x14ac:dyDescent="0.2">
      <c r="O215" s="10"/>
      <c r="P215" s="7"/>
    </row>
    <row r="216" spans="15:16" x14ac:dyDescent="0.2">
      <c r="O216" s="10"/>
      <c r="P216" s="7"/>
    </row>
    <row r="217" spans="15:16" x14ac:dyDescent="0.2">
      <c r="O217" s="10"/>
      <c r="P217" s="7"/>
    </row>
    <row r="218" spans="15:16" x14ac:dyDescent="0.2">
      <c r="O218" s="10"/>
      <c r="P218" s="7"/>
    </row>
    <row r="219" spans="15:16" x14ac:dyDescent="0.2">
      <c r="O219" s="10"/>
      <c r="P219" s="7"/>
    </row>
    <row r="220" spans="15:16" x14ac:dyDescent="0.2">
      <c r="O220" s="10"/>
      <c r="P220" s="7"/>
    </row>
    <row r="221" spans="15:16" x14ac:dyDescent="0.2">
      <c r="O221" s="10"/>
      <c r="P221" s="7"/>
    </row>
    <row r="222" spans="15:16" x14ac:dyDescent="0.2">
      <c r="O222" s="10"/>
      <c r="P222" s="7"/>
    </row>
    <row r="223" spans="15:16" x14ac:dyDescent="0.2">
      <c r="O223" s="10"/>
      <c r="P223" s="7"/>
    </row>
    <row r="224" spans="15:16" x14ac:dyDescent="0.2">
      <c r="O224" s="10"/>
      <c r="P224" s="7"/>
    </row>
    <row r="225" spans="15:16" x14ac:dyDescent="0.2">
      <c r="O225" s="10"/>
      <c r="P225" s="7"/>
    </row>
    <row r="226" spans="15:16" x14ac:dyDescent="0.2">
      <c r="O226" s="10"/>
      <c r="P226" s="7"/>
    </row>
    <row r="227" spans="15:16" x14ac:dyDescent="0.2">
      <c r="O227" s="10"/>
      <c r="P227" s="7"/>
    </row>
    <row r="228" spans="15:16" x14ac:dyDescent="0.2">
      <c r="O228" s="10"/>
      <c r="P228" s="7"/>
    </row>
    <row r="229" spans="15:16" x14ac:dyDescent="0.2">
      <c r="O229" s="10"/>
      <c r="P229" s="7"/>
    </row>
    <row r="230" spans="15:16" x14ac:dyDescent="0.2">
      <c r="O230" s="10"/>
      <c r="P230" s="7"/>
    </row>
    <row r="231" spans="15:16" x14ac:dyDescent="0.2">
      <c r="O231" s="10"/>
      <c r="P231" s="7"/>
    </row>
    <row r="232" spans="15:16" x14ac:dyDescent="0.2">
      <c r="O232" s="10"/>
      <c r="P232" s="7"/>
    </row>
    <row r="233" spans="15:16" x14ac:dyDescent="0.2">
      <c r="O233" s="10"/>
      <c r="P233" s="7"/>
    </row>
    <row r="234" spans="15:16" x14ac:dyDescent="0.2">
      <c r="O234" s="10"/>
      <c r="P234" s="7"/>
    </row>
    <row r="235" spans="15:16" x14ac:dyDescent="0.2">
      <c r="O235" s="10"/>
      <c r="P235" s="7"/>
    </row>
    <row r="236" spans="15:16" x14ac:dyDescent="0.2">
      <c r="O236" s="10"/>
      <c r="P236" s="7"/>
    </row>
    <row r="237" spans="15:16" x14ac:dyDescent="0.2">
      <c r="O237" s="10"/>
      <c r="P237" s="7"/>
    </row>
    <row r="238" spans="15:16" x14ac:dyDescent="0.2">
      <c r="O238" s="10"/>
      <c r="P238" s="7"/>
    </row>
    <row r="239" spans="15:16" x14ac:dyDescent="0.2">
      <c r="O239" s="10"/>
      <c r="P239" s="7"/>
    </row>
    <row r="240" spans="15:16" x14ac:dyDescent="0.2">
      <c r="O240" s="10"/>
      <c r="P240" s="7"/>
    </row>
    <row r="241" spans="15:16" x14ac:dyDescent="0.2">
      <c r="O241" s="10"/>
      <c r="P241" s="7"/>
    </row>
    <row r="242" spans="15:16" x14ac:dyDescent="0.2">
      <c r="O242" s="10"/>
      <c r="P242" s="7"/>
    </row>
    <row r="243" spans="15:16" x14ac:dyDescent="0.2">
      <c r="O243" s="10"/>
      <c r="P243" s="7"/>
    </row>
    <row r="244" spans="15:16" x14ac:dyDescent="0.2">
      <c r="O244" s="10"/>
      <c r="P244" s="7"/>
    </row>
    <row r="245" spans="15:16" x14ac:dyDescent="0.2">
      <c r="O245" s="10"/>
      <c r="P245" s="7"/>
    </row>
    <row r="246" spans="15:16" x14ac:dyDescent="0.2">
      <c r="O246" s="10"/>
      <c r="P246" s="7"/>
    </row>
    <row r="247" spans="15:16" x14ac:dyDescent="0.2">
      <c r="O247" s="10"/>
      <c r="P247" s="7"/>
    </row>
    <row r="248" spans="15:16" x14ac:dyDescent="0.2">
      <c r="O248" s="10"/>
    </row>
    <row r="249" spans="15:16" x14ac:dyDescent="0.2">
      <c r="O249" s="10"/>
    </row>
    <row r="250" spans="15:16" x14ac:dyDescent="0.2">
      <c r="O250" s="10"/>
    </row>
    <row r="251" spans="15:16" x14ac:dyDescent="0.2">
      <c r="O251" s="10"/>
    </row>
    <row r="252" spans="15:16" x14ac:dyDescent="0.2">
      <c r="O252" s="10"/>
    </row>
    <row r="253" spans="15:16" x14ac:dyDescent="0.2">
      <c r="O253" s="10"/>
    </row>
    <row r="254" spans="15:16" x14ac:dyDescent="0.2">
      <c r="O254" s="10"/>
    </row>
    <row r="255" spans="15:16" x14ac:dyDescent="0.2">
      <c r="O255" s="10"/>
    </row>
    <row r="256" spans="15:16" x14ac:dyDescent="0.2">
      <c r="O256" s="10"/>
    </row>
    <row r="257" spans="15:15" x14ac:dyDescent="0.2">
      <c r="O257" s="10"/>
    </row>
    <row r="258" spans="15:15" x14ac:dyDescent="0.2">
      <c r="O258" s="10"/>
    </row>
    <row r="259" spans="15:15" x14ac:dyDescent="0.2">
      <c r="O259" s="10"/>
    </row>
    <row r="260" spans="15:15" x14ac:dyDescent="0.2">
      <c r="O260" s="10"/>
    </row>
    <row r="261" spans="15:15" x14ac:dyDescent="0.2">
      <c r="O261" s="10"/>
    </row>
    <row r="262" spans="15:15" x14ac:dyDescent="0.2">
      <c r="O262" s="10"/>
    </row>
    <row r="263" spans="15:15" x14ac:dyDescent="0.2">
      <c r="O263" s="10"/>
    </row>
    <row r="264" spans="15:15" x14ac:dyDescent="0.2">
      <c r="O264" s="10"/>
    </row>
    <row r="265" spans="15:15" x14ac:dyDescent="0.2">
      <c r="O265" s="10"/>
    </row>
    <row r="266" spans="15:15" x14ac:dyDescent="0.2">
      <c r="O266" s="10"/>
    </row>
    <row r="267" spans="15:15" x14ac:dyDescent="0.2">
      <c r="O267" s="10"/>
    </row>
    <row r="268" spans="15:15" x14ac:dyDescent="0.2">
      <c r="O268" s="10"/>
    </row>
    <row r="269" spans="15:15" x14ac:dyDescent="0.2">
      <c r="O269" s="10"/>
    </row>
    <row r="270" spans="15:15" x14ac:dyDescent="0.2">
      <c r="O270" s="10"/>
    </row>
    <row r="271" spans="15:15" x14ac:dyDescent="0.2">
      <c r="O271" s="10"/>
    </row>
    <row r="272" spans="15:15" x14ac:dyDescent="0.2">
      <c r="O272" s="10"/>
    </row>
    <row r="273" spans="15:15" x14ac:dyDescent="0.2">
      <c r="O273" s="10"/>
    </row>
    <row r="274" spans="15:15" x14ac:dyDescent="0.2">
      <c r="O274" s="10"/>
    </row>
    <row r="275" spans="15:15" x14ac:dyDescent="0.2">
      <c r="O275" s="10"/>
    </row>
    <row r="276" spans="15:15" x14ac:dyDescent="0.2">
      <c r="O276" s="10"/>
    </row>
    <row r="277" spans="15:15" x14ac:dyDescent="0.2">
      <c r="O277" s="10"/>
    </row>
    <row r="278" spans="15:15" x14ac:dyDescent="0.2">
      <c r="O278" s="10"/>
    </row>
    <row r="279" spans="15:15" x14ac:dyDescent="0.2">
      <c r="O279" s="10"/>
    </row>
    <row r="280" spans="15:15" x14ac:dyDescent="0.2">
      <c r="O280" s="10"/>
    </row>
    <row r="281" spans="15:15" x14ac:dyDescent="0.2">
      <c r="O281" s="10"/>
    </row>
    <row r="282" spans="15:15" x14ac:dyDescent="0.2">
      <c r="O282" s="10"/>
    </row>
    <row r="283" spans="15:15" x14ac:dyDescent="0.2">
      <c r="O283" s="10"/>
    </row>
    <row r="284" spans="15:15" x14ac:dyDescent="0.2">
      <c r="O284" s="10"/>
    </row>
    <row r="285" spans="15:15" x14ac:dyDescent="0.2">
      <c r="O285" s="10"/>
    </row>
    <row r="286" spans="15:15" x14ac:dyDescent="0.2">
      <c r="O286" s="10"/>
    </row>
    <row r="287" spans="15:15" x14ac:dyDescent="0.2">
      <c r="O287" s="10"/>
    </row>
    <row r="288" spans="15:15" x14ac:dyDescent="0.2">
      <c r="O288" s="10"/>
    </row>
    <row r="289" spans="15:15" x14ac:dyDescent="0.2">
      <c r="O289" s="10"/>
    </row>
    <row r="290" spans="15:15" x14ac:dyDescent="0.2">
      <c r="O290" s="10"/>
    </row>
    <row r="291" spans="15:15" x14ac:dyDescent="0.2">
      <c r="O291" s="10"/>
    </row>
    <row r="292" spans="15:15" x14ac:dyDescent="0.2">
      <c r="O292" s="10"/>
    </row>
    <row r="293" spans="15:15" x14ac:dyDescent="0.2">
      <c r="O293" s="10"/>
    </row>
    <row r="294" spans="15:15" x14ac:dyDescent="0.2">
      <c r="O294" s="10"/>
    </row>
    <row r="295" spans="15:15" x14ac:dyDescent="0.2">
      <c r="O295" s="10"/>
    </row>
    <row r="296" spans="15:15" x14ac:dyDescent="0.2">
      <c r="O296" s="10"/>
    </row>
    <row r="297" spans="15:15" x14ac:dyDescent="0.2">
      <c r="O297" s="10"/>
    </row>
    <row r="298" spans="15:15" x14ac:dyDescent="0.2">
      <c r="O298" s="10"/>
    </row>
    <row r="299" spans="15:15" x14ac:dyDescent="0.2">
      <c r="O299" s="10"/>
    </row>
    <row r="300" spans="15:15" x14ac:dyDescent="0.2">
      <c r="O300" s="10"/>
    </row>
    <row r="301" spans="15:15" x14ac:dyDescent="0.2">
      <c r="O301" s="10"/>
    </row>
    <row r="302" spans="15:15" x14ac:dyDescent="0.2">
      <c r="O302" s="10"/>
    </row>
    <row r="303" spans="15:15" x14ac:dyDescent="0.2">
      <c r="O303" s="10"/>
    </row>
    <row r="304" spans="15:15" x14ac:dyDescent="0.2">
      <c r="O304" s="10"/>
    </row>
    <row r="305" spans="15:15" x14ac:dyDescent="0.2">
      <c r="O305" s="10"/>
    </row>
    <row r="306" spans="15:15" x14ac:dyDescent="0.2">
      <c r="O306" s="10"/>
    </row>
    <row r="307" spans="15:15" x14ac:dyDescent="0.2">
      <c r="O307" s="10"/>
    </row>
    <row r="308" spans="15:15" x14ac:dyDescent="0.2">
      <c r="O308" s="10"/>
    </row>
    <row r="309" spans="15:15" x14ac:dyDescent="0.2">
      <c r="O309" s="10"/>
    </row>
    <row r="310" spans="15:15" x14ac:dyDescent="0.2">
      <c r="O310" s="10"/>
    </row>
    <row r="311" spans="15:15" x14ac:dyDescent="0.2">
      <c r="O311" s="10"/>
    </row>
    <row r="312" spans="15:15" x14ac:dyDescent="0.2">
      <c r="O312" s="10"/>
    </row>
    <row r="313" spans="15:15" x14ac:dyDescent="0.2">
      <c r="O313" s="10"/>
    </row>
    <row r="314" spans="15:15" x14ac:dyDescent="0.2">
      <c r="O314" s="10"/>
    </row>
    <row r="315" spans="15:15" x14ac:dyDescent="0.2">
      <c r="O315" s="10"/>
    </row>
    <row r="316" spans="15:15" x14ac:dyDescent="0.2">
      <c r="O316" s="10"/>
    </row>
    <row r="317" spans="15:15" x14ac:dyDescent="0.2">
      <c r="O317" s="10"/>
    </row>
    <row r="318" spans="15:15" x14ac:dyDescent="0.2">
      <c r="O318" s="10"/>
    </row>
    <row r="319" spans="15:15" x14ac:dyDescent="0.2">
      <c r="O319" s="10"/>
    </row>
    <row r="320" spans="15:15" x14ac:dyDescent="0.2">
      <c r="O320" s="10"/>
    </row>
    <row r="321" spans="15:15" x14ac:dyDescent="0.2">
      <c r="O321" s="10"/>
    </row>
    <row r="322" spans="15:15" x14ac:dyDescent="0.2">
      <c r="O322" s="10"/>
    </row>
    <row r="323" spans="15:15" x14ac:dyDescent="0.2">
      <c r="O323" s="10"/>
    </row>
    <row r="324" spans="15:15" x14ac:dyDescent="0.2">
      <c r="O324" s="10"/>
    </row>
    <row r="325" spans="15:15" x14ac:dyDescent="0.2">
      <c r="O325" s="10"/>
    </row>
    <row r="326" spans="15:15" x14ac:dyDescent="0.2">
      <c r="O326" s="10"/>
    </row>
    <row r="327" spans="15:15" x14ac:dyDescent="0.2">
      <c r="O327" s="10"/>
    </row>
    <row r="328" spans="15:15" x14ac:dyDescent="0.2">
      <c r="O328" s="10"/>
    </row>
    <row r="329" spans="15:15" x14ac:dyDescent="0.2">
      <c r="O329" s="10"/>
    </row>
    <row r="330" spans="15:15" x14ac:dyDescent="0.2">
      <c r="O330" s="10"/>
    </row>
    <row r="331" spans="15:15" x14ac:dyDescent="0.2">
      <c r="O331" s="10"/>
    </row>
    <row r="332" spans="15:15" x14ac:dyDescent="0.2">
      <c r="O332" s="10"/>
    </row>
    <row r="333" spans="15:15" x14ac:dyDescent="0.2">
      <c r="O333" s="10"/>
    </row>
    <row r="334" spans="15:15" x14ac:dyDescent="0.2">
      <c r="O334" s="10"/>
    </row>
    <row r="335" spans="15:15" x14ac:dyDescent="0.2">
      <c r="O335" s="10"/>
    </row>
    <row r="336" spans="15:15" x14ac:dyDescent="0.2">
      <c r="O336" s="10"/>
    </row>
    <row r="337" spans="15:15" x14ac:dyDescent="0.2">
      <c r="O337" s="10"/>
    </row>
    <row r="338" spans="15:15" x14ac:dyDescent="0.2">
      <c r="O338" s="10"/>
    </row>
    <row r="339" spans="15:15" x14ac:dyDescent="0.2">
      <c r="O339" s="10"/>
    </row>
    <row r="340" spans="15:15" x14ac:dyDescent="0.2">
      <c r="O340" s="10"/>
    </row>
    <row r="341" spans="15:15" x14ac:dyDescent="0.2">
      <c r="O341" s="10"/>
    </row>
    <row r="342" spans="15:15" x14ac:dyDescent="0.2">
      <c r="O342" s="10"/>
    </row>
    <row r="343" spans="15:15" x14ac:dyDescent="0.2">
      <c r="O343" s="10"/>
    </row>
    <row r="344" spans="15:15" x14ac:dyDescent="0.2">
      <c r="O344" s="10"/>
    </row>
    <row r="345" spans="15:15" x14ac:dyDescent="0.2">
      <c r="O345" s="10"/>
    </row>
  </sheetData>
  <pageMargins left="0.78740157499999996" right="0.78740157499999996" top="0.984251969" bottom="0.984251969" header="0.49212598499999999" footer="0.49212598499999999"/>
  <pageSetup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2DBA0-73CD-4353-9AF8-53A07A968E46}">
  <sheetPr codeName="Sheet5"/>
  <dimension ref="A5:H11"/>
  <sheetViews>
    <sheetView workbookViewId="0">
      <selection activeCell="F7" sqref="F7"/>
    </sheetView>
  </sheetViews>
  <sheetFormatPr defaultRowHeight="15" x14ac:dyDescent="0.25"/>
  <sheetData>
    <row r="5" spans="1:8" x14ac:dyDescent="0.25">
      <c r="A5" t="s">
        <v>4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</row>
    <row r="6" spans="1:8" x14ac:dyDescent="0.25">
      <c r="A6">
        <v>1</v>
      </c>
      <c r="B6" s="21">
        <v>0.2</v>
      </c>
      <c r="C6" s="21">
        <v>0.2</v>
      </c>
      <c r="D6" s="22">
        <f>-1*2*(5*B6+2*C6-7)</f>
        <v>11.2</v>
      </c>
      <c r="E6" s="22">
        <f>-1*2*(2*B6+C6-3)</f>
        <v>4.8</v>
      </c>
      <c r="F6">
        <f>(D6^2+E6^2)^(1/2)</f>
        <v>12.185236969382252</v>
      </c>
      <c r="G6" s="22">
        <f>ABS(109/1258)</f>
        <v>8.6645468998410177E-2</v>
      </c>
      <c r="H6" s="22">
        <f>B6^2-B6+B6*C6+2*C6^2+C6</f>
        <v>0.16000000000000003</v>
      </c>
    </row>
    <row r="7" spans="1:8" x14ac:dyDescent="0.25">
      <c r="A7">
        <v>2</v>
      </c>
      <c r="B7">
        <f>B6+G6*D6</f>
        <v>1.170429252782194</v>
      </c>
      <c r="C7">
        <f>C6+G6*E6</f>
        <v>0.61589825119236885</v>
      </c>
      <c r="D7" s="22">
        <f t="shared" ref="D7" si="0">-1*2*(5*B7+2*C7-7)</f>
        <v>-0.16788553259141459</v>
      </c>
      <c r="E7" s="22">
        <f t="shared" ref="E7" si="1">-1*2*(2*B7+C7-3)</f>
        <v>8.6486486486486491E-2</v>
      </c>
      <c r="F7">
        <f t="shared" ref="F7" si="2">(D7^2+E7^2)^(1/2)</f>
        <v>0.18885302327016143</v>
      </c>
      <c r="G7" s="22">
        <f>ABS(-211806/97159)</f>
        <v>2.1799936187074795</v>
      </c>
      <c r="H7" s="22">
        <f>B7^2-B7+B7*C7+2*C7^2+C7</f>
        <v>2.2949002757550407</v>
      </c>
    </row>
    <row r="8" spans="1:8" x14ac:dyDescent="0.25">
      <c r="A8">
        <v>3</v>
      </c>
      <c r="B8">
        <f>B7+G7*D7</f>
        <v>0.80443986305960369</v>
      </c>
      <c r="C8">
        <f>C7+G7*E7</f>
        <v>0.80443823983734009</v>
      </c>
      <c r="D8" s="22"/>
      <c r="E8" s="22"/>
      <c r="G8" s="22"/>
      <c r="H8" s="22"/>
    </row>
    <row r="9" spans="1:8" x14ac:dyDescent="0.25">
      <c r="A9">
        <v>4</v>
      </c>
      <c r="D9" s="22"/>
      <c r="E9" s="22"/>
      <c r="G9" s="22"/>
      <c r="H9" s="22"/>
    </row>
    <row r="10" spans="1:8" x14ac:dyDescent="0.25">
      <c r="D10" s="22"/>
      <c r="E10" s="22"/>
      <c r="G10" s="22"/>
      <c r="H10" s="22"/>
    </row>
    <row r="11" spans="1:8" x14ac:dyDescent="0.25">
      <c r="D11" s="22"/>
      <c r="E11" s="22"/>
      <c r="G11" s="22"/>
      <c r="H11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F57C6-9704-4C3D-BE04-AEF1C1A117DE}">
  <sheetPr codeName="Sheet6"/>
  <dimension ref="A5:E9"/>
  <sheetViews>
    <sheetView workbookViewId="0">
      <selection activeCell="K9" sqref="K9"/>
    </sheetView>
  </sheetViews>
  <sheetFormatPr defaultRowHeight="15" x14ac:dyDescent="0.25"/>
  <sheetData>
    <row r="5" spans="1:5" x14ac:dyDescent="0.25">
      <c r="A5" t="s">
        <v>4</v>
      </c>
      <c r="B5" t="s">
        <v>25</v>
      </c>
      <c r="C5" t="s">
        <v>26</v>
      </c>
      <c r="D5" s="23" t="s">
        <v>27</v>
      </c>
      <c r="E5" t="s">
        <v>28</v>
      </c>
    </row>
    <row r="6" spans="1:5" x14ac:dyDescent="0.25">
      <c r="A6">
        <v>0</v>
      </c>
      <c r="B6" s="21">
        <v>0.1</v>
      </c>
      <c r="C6" s="22">
        <f>1/B6^2</f>
        <v>99.999999999999986</v>
      </c>
      <c r="D6" s="22">
        <f>7-1/B6</f>
        <v>-3</v>
      </c>
      <c r="E6">
        <f>-D6/C6</f>
        <v>3.0000000000000006E-2</v>
      </c>
    </row>
    <row r="7" spans="1:5" x14ac:dyDescent="0.25">
      <c r="A7">
        <v>1</v>
      </c>
      <c r="B7">
        <f>B6+E6</f>
        <v>0.13</v>
      </c>
      <c r="C7" s="22">
        <f>1/B7^2</f>
        <v>59.171597633136088</v>
      </c>
      <c r="D7" s="22">
        <f>7-1/B7</f>
        <v>-0.69230769230769162</v>
      </c>
      <c r="E7">
        <f>-D7/C7</f>
        <v>1.169999999999999E-2</v>
      </c>
    </row>
    <row r="8" spans="1:5" x14ac:dyDescent="0.25">
      <c r="A8">
        <v>2</v>
      </c>
      <c r="B8">
        <f>B7+E7</f>
        <v>0.14169999999999999</v>
      </c>
      <c r="C8" s="22">
        <f>1/B8^2</f>
        <v>49.80354989742959</v>
      </c>
      <c r="D8" s="22">
        <f>7-1/B8</f>
        <v>-5.7163020465773151E-2</v>
      </c>
      <c r="E8">
        <f>-D8/C8</f>
        <v>1.1477700000000078E-3</v>
      </c>
    </row>
    <row r="9" spans="1:5" x14ac:dyDescent="0.25">
      <c r="A9">
        <v>3</v>
      </c>
      <c r="B9">
        <f>B8+E8</f>
        <v>0.14284777000000001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Padrão-&gt;Canônica</vt:lpstr>
      <vt:lpstr>Primeira Fase (Duas Fases)</vt:lpstr>
      <vt:lpstr>Forçador de Gauss Jordan</vt:lpstr>
      <vt:lpstr>Simplex</vt:lpstr>
      <vt:lpstr>DualSimplex</vt:lpstr>
      <vt:lpstr>Biseção</vt:lpstr>
      <vt:lpstr>SeçãoÁurea</vt:lpstr>
      <vt:lpstr>Gradiente (Cauchy)</vt:lpstr>
      <vt:lpstr>Newton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Bergsten Mendes</dc:creator>
  <cp:lastModifiedBy>Toni T.</cp:lastModifiedBy>
  <dcterms:created xsi:type="dcterms:W3CDTF">2021-11-10T13:42:20Z</dcterms:created>
  <dcterms:modified xsi:type="dcterms:W3CDTF">2022-01-18T17:01:51Z</dcterms:modified>
</cp:coreProperties>
</file>